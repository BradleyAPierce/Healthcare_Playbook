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obJohnson\OneDrive for Business 2\ASM Development\"/>
    </mc:Choice>
  </mc:AlternateContent>
  <bookViews>
    <workbookView xWindow="0" yWindow="0" windowWidth="20325" windowHeight="10890" activeTab="1"/>
  </bookViews>
  <sheets>
    <sheet name="All Questions" sheetId="3" r:id="rId1"/>
    <sheet name="Strategic Deal Diagnostic" sheetId="1" r:id="rId2"/>
    <sheet name="Sheet1" sheetId="2" r:id="rId3"/>
  </sheets>
  <externalReferences>
    <externalReference r:id="rId4"/>
  </externalReferences>
  <definedNames>
    <definedName name="Defined" localSheetId="0">'[1]Opportunity Diagnostic'!#REF!</definedName>
    <definedName name="Defined">'Strategic Deal Diagnostic'!#REF!</definedName>
    <definedName name="Onsite" localSheetId="0">'[1]Opportunity Diagnostic'!#REF!</definedName>
    <definedName name="Onsite">'Strategic Deal Diagnostic'!#REF!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23" i="1" l="1"/>
  <c r="L23" i="1"/>
  <c r="K23" i="1"/>
  <c r="M18" i="1"/>
  <c r="L18" i="1"/>
  <c r="K18" i="1"/>
  <c r="M33" i="1"/>
  <c r="L33" i="1"/>
  <c r="K33" i="1"/>
  <c r="M28" i="1"/>
  <c r="L28" i="1"/>
  <c r="K28" i="1"/>
  <c r="K35" i="1" l="1"/>
  <c r="L35" i="1"/>
  <c r="M35" i="1"/>
  <c r="K34" i="1"/>
  <c r="M19" i="1"/>
  <c r="M36" i="1" l="1"/>
  <c r="K36" i="1"/>
  <c r="L36" i="1"/>
  <c r="K24" i="1"/>
  <c r="M29" i="1"/>
  <c r="L29" i="1"/>
  <c r="L34" i="1"/>
  <c r="K19" i="1"/>
  <c r="M34" i="1"/>
  <c r="L19" i="1"/>
  <c r="L24" i="1"/>
  <c r="M24" i="1"/>
  <c r="K29" i="1"/>
</calcChain>
</file>

<file path=xl/comments1.xml><?xml version="1.0" encoding="utf-8"?>
<comments xmlns="http://schemas.openxmlformats.org/spreadsheetml/2006/main">
  <authors>
    <author>Jeannie Bastos</author>
  </authors>
  <commentList>
    <comment ref="E17" authorId="0" shapeId="0">
      <text>
        <r>
          <rPr>
            <sz val="9"/>
            <color indexed="81"/>
            <rFont val="Tahoma"/>
            <family val="2"/>
          </rPr>
          <t>What key facts indicate they are a qualified prospect?
Do we understand challenges and area of opportunity?
What have we learned about Budget, Authority, Need and Time?
What is the timeframe inside which they need to decide? Why?</t>
        </r>
      </text>
    </comment>
    <comment ref="E18" authorId="0" shapeId="0">
      <text>
        <r>
          <rPr>
            <sz val="9"/>
            <color indexed="81"/>
            <rFont val="Tahoma"/>
            <family val="2"/>
          </rPr>
          <t xml:space="preserve">Who are the KDM's/KDI's? Added to CRM with full contact information?
What have we uncovered about the KDM/KDI/persons you are calling on?
Do we understand their technology requirements?
</t>
        </r>
      </text>
    </comment>
    <comment ref="E19" authorId="0" shapeId="0">
      <text>
        <r>
          <rPr>
            <sz val="9"/>
            <color indexed="81"/>
            <rFont val="Tahoma"/>
            <family val="2"/>
          </rPr>
          <t>Is your message aligned with what is Top-of-Mind for the KDM/KDI's?
What does this tell us about how our solution meet the client's objectives?
How will not acting impact their business (or department)?
Is this pain enough for them change?
      -Did they confirm this?</t>
        </r>
      </text>
    </comment>
    <comment ref="E22" authorId="0" shapeId="0">
      <text>
        <r>
          <rPr>
            <sz val="9"/>
            <color indexed="81"/>
            <rFont val="Tahoma"/>
            <family val="2"/>
          </rPr>
          <t xml:space="preserve">How will the decision really be made?
What new client goals have surfaced?
Have you updated your KDM/KDI list to include what is most important to them?
Do you have an understanding of the political landscape?
What additional facts have you gathered to strengthen our offering?
What have they done to indicate support for our solution over your competitors?
</t>
        </r>
      </text>
    </comment>
    <comment ref="E23" authorId="0" shapeId="0">
      <text>
        <r>
          <rPr>
            <sz val="9"/>
            <color indexed="81"/>
            <rFont val="Tahoma"/>
            <family val="2"/>
          </rPr>
          <t xml:space="preserve">Does your client understand TCO?
How did they define it?
How does it compare to our solution?
How are you guiding them through the process to capture all required financial information?
</t>
        </r>
      </text>
    </comment>
    <comment ref="E24" authorId="0" shapeId="0">
      <text>
        <r>
          <rPr>
            <sz val="9"/>
            <color indexed="81"/>
            <rFont val="Tahoma"/>
            <family val="2"/>
          </rPr>
          <t>Are we the incumbent provider/who owns the relationship?
What strengths do we bring vs. our competition?
What weakness do we need to overcome vs. our competition?
Have you introduced the first version SOW?</t>
        </r>
      </text>
    </comment>
    <comment ref="E27" authorId="0" shapeId="0">
      <text>
        <r>
          <rPr>
            <sz val="9"/>
            <color indexed="81"/>
            <rFont val="Tahoma"/>
            <family val="2"/>
          </rPr>
          <t>Do we know who wants us to win?
Have we shared the ROI and does the client agree?
Is the internal champion able to articulate our value and our ROI effectively?
Are we at a minimum 3x3?</t>
        </r>
      </text>
    </comment>
    <comment ref="E28" authorId="0" shapeId="0">
      <text>
        <r>
          <rPr>
            <sz val="9"/>
            <color indexed="81"/>
            <rFont val="Tahoma"/>
            <family val="2"/>
          </rPr>
          <t>Have we identified potential "blockers"?
Have we utilized our resources to mitigate any detractors?
How does our proposed future state impact the KDM's/KDI's success factors?</t>
        </r>
      </text>
    </comment>
    <comment ref="E29" authorId="0" shapeId="0">
      <text>
        <r>
          <rPr>
            <sz val="9"/>
            <color indexed="81"/>
            <rFont val="Tahoma"/>
            <family val="2"/>
          </rPr>
          <t>Do they view that our solution is BEST for their company?
Why?
Have they informed all KDM/KDI's that we are the vendor of choice?</t>
        </r>
      </text>
    </comment>
    <comment ref="E32" authorId="0" shapeId="0">
      <text>
        <r>
          <rPr>
            <sz val="9"/>
            <color indexed="81"/>
            <rFont val="Tahoma"/>
            <family val="2"/>
          </rPr>
          <t>Have we completed contract negotiations?
Have we overcome all anticipated objections?
Has the client indicated their acceptance?
Has the client approved the final SOW and technical requirements for installation?
Has legal review of MSA/Lease/T's &amp; C's been initiated?</t>
        </r>
      </text>
    </comment>
    <comment ref="E33" authorId="0" shapeId="0">
      <text>
        <r>
          <rPr>
            <sz val="9"/>
            <color indexed="81"/>
            <rFont val="Tahoma"/>
            <family val="2"/>
          </rPr>
          <t>Is the contract signed?
Do we understand our resource requirements?
Have we scheduled a tentative installation date?</t>
        </r>
      </text>
    </comment>
    <comment ref="E34" authorId="0" shapeId="0">
      <text>
        <r>
          <rPr>
            <sz val="9"/>
            <color indexed="81"/>
            <rFont val="Tahoma"/>
            <family val="2"/>
          </rPr>
          <t>Can we leverage to expand our service offering?
Will they refer us to a friend or colleague?
Will they provide us with a testimonial?</t>
        </r>
      </text>
    </comment>
  </commentList>
</comments>
</file>

<file path=xl/sharedStrings.xml><?xml version="1.0" encoding="utf-8"?>
<sst xmlns="http://schemas.openxmlformats.org/spreadsheetml/2006/main" count="120" uniqueCount="95">
  <si>
    <t>Strategic Deal Diagnostic</t>
  </si>
  <si>
    <t xml:space="preserve"> Selling Process:  Is there an Opportunity?</t>
  </si>
  <si>
    <t>Unknown</t>
  </si>
  <si>
    <t>POS</t>
  </si>
  <si>
    <t>NEG</t>
  </si>
  <si>
    <t>UNK</t>
  </si>
  <si>
    <t>No</t>
  </si>
  <si>
    <t xml:space="preserve"> Selling Process: Can We Create Value?</t>
  </si>
  <si>
    <t>Yes</t>
  </si>
  <si>
    <t xml:space="preserve"> Selling Process: Are We Aligned to Win?</t>
  </si>
  <si>
    <t xml:space="preserve"> Selling Process: Relationship Strength/Lifetime Value</t>
  </si>
  <si>
    <t>HI</t>
  </si>
  <si>
    <t>Tot</t>
  </si>
  <si>
    <t>Do we have a qualified prospect?</t>
  </si>
  <si>
    <t>Is the implementation/degree of risk attainable?</t>
  </si>
  <si>
    <t>Do we have a champion(s) in the C Suite for our solution?</t>
  </si>
  <si>
    <t>Proposal submitted/presented?</t>
  </si>
  <si>
    <t>Do we have political alignment/understand the landscape?</t>
  </si>
  <si>
    <t>Location:</t>
  </si>
  <si>
    <t>Has the client provided their current costs?</t>
  </si>
  <si>
    <t xml:space="preserve">Buying Process: IDENTIFY NEED                                                                   </t>
  </si>
  <si>
    <t xml:space="preserve">Buying Process: INVESTIGATE OPTIONS                                                         </t>
  </si>
  <si>
    <t xml:space="preserve">Buying Process: RESOLVE CONCERNS                                                            </t>
  </si>
  <si>
    <t xml:space="preserve">Buying Process: PURCHASE/DECISION &amp; IMPLEMENT                                                                   </t>
  </si>
  <si>
    <t>Have we identified expansion and refferal opportunities?</t>
  </si>
  <si>
    <t>Will they provide us with a testimonial?</t>
  </si>
  <si>
    <t>Will they refer us to a friend or colleague?</t>
  </si>
  <si>
    <t>Can we leverage to expand our service offering?</t>
  </si>
  <si>
    <t>Have we scheduled a tentative installation date?</t>
  </si>
  <si>
    <t>Do we understand our resource requirements?</t>
  </si>
  <si>
    <t>Is the contract signed?</t>
  </si>
  <si>
    <t>Has legal review of MSA/Lease/T's &amp; C's been initiated?</t>
  </si>
  <si>
    <t>Has the client indicated their acceptance?</t>
  </si>
  <si>
    <t>Have we overcome all anticipated objections?</t>
  </si>
  <si>
    <t>Have we completed contract negotiations?</t>
  </si>
  <si>
    <t>Proposal submitted/presented in person?</t>
  </si>
  <si>
    <t>Do they agree our solution is BEST for their company?  Why?</t>
  </si>
  <si>
    <t>How does our proposed future state impact the KDM's/KDI's performance rating?</t>
  </si>
  <si>
    <t>Have we utilized our resources to mitigate any detractors?</t>
  </si>
  <si>
    <t>Have we identified potential "blockers"?</t>
  </si>
  <si>
    <t>Do we have political aligment/understand the landscape?</t>
  </si>
  <si>
    <t>Have we shared the ROI and does the client agree?</t>
  </si>
  <si>
    <t>Do we know who wants us to win?</t>
  </si>
  <si>
    <t>Do we have inside support? (a internal champion)</t>
  </si>
  <si>
    <t>Have you introduced the first version of the SOW?</t>
  </si>
  <si>
    <t>What strengths do we bring/weakness to overcome?</t>
  </si>
  <si>
    <t>SWOT vs. Competition</t>
  </si>
  <si>
    <t>Are we the incumbant provider/who owns the realtionship?</t>
  </si>
  <si>
    <t>Are we at a minimun 3X3?</t>
  </si>
  <si>
    <t>How will the decision really be made?</t>
  </si>
  <si>
    <t>What have they done to indicate support/positive feedback?</t>
  </si>
  <si>
    <t>What additional facts have you gathered to strengthen our offering?</t>
  </si>
  <si>
    <t>Do you have an understanding of the political landscape?</t>
  </si>
  <si>
    <t>What new client goals have surfaced?</t>
  </si>
  <si>
    <t>How will not acting impact their business?</t>
  </si>
  <si>
    <t>What does this tell us about how well our solution meet the client's objectives?</t>
  </si>
  <si>
    <t>What is the driving force behind the project/reason to move forward?</t>
  </si>
  <si>
    <t>Do we understand their technology requirements?</t>
  </si>
  <si>
    <t>Have these KDM's/KDI's been linked to buying personas?</t>
  </si>
  <si>
    <t>What have we uncovered about the KDM/KDI/person you are calling on?</t>
  </si>
  <si>
    <t>Who are the KDM's/KDI's? Added to CRM with full contact information?</t>
  </si>
  <si>
    <t>Do we understand challenges and area of opportunity?</t>
  </si>
  <si>
    <t>Do we have inside support? (internal champion)</t>
  </si>
  <si>
    <t xml:space="preserve">Buying Process: Identify Need                                                                    </t>
  </si>
  <si>
    <t xml:space="preserve">Buying Process: Investigate Options                                                                    </t>
  </si>
  <si>
    <t xml:space="preserve">Buying Process: Resolve Concerns                                                                  </t>
  </si>
  <si>
    <t xml:space="preserve">Buying Process: Purchase/Decision &amp; Implement                                                                      </t>
  </si>
  <si>
    <t>Have you updated your KDM/KDI list to include what is most important to them?</t>
  </si>
  <si>
    <t xml:space="preserve"> How are we guiding them through the process to capture ALL required financial information?</t>
  </si>
  <si>
    <t>What have we learned about Budget, Authority, Need and Time?</t>
  </si>
  <si>
    <t xml:space="preserve"> Have we validated our findings and financial data in a live meeting?</t>
  </si>
  <si>
    <r>
      <t>What key facts</t>
    </r>
    <r>
      <rPr>
        <sz val="11"/>
        <color theme="1"/>
        <rFont val="Calibri"/>
        <family val="2"/>
        <scheme val="minor"/>
      </rPr>
      <t xml:space="preserve"> indicate they are a qualified prospect?</t>
    </r>
  </si>
  <si>
    <t>Is your messaging aligned with what is Top-of-Mind for the KDM/KDI?</t>
  </si>
  <si>
    <t xml:space="preserve">Estimated Close Date: </t>
  </si>
  <si>
    <t>Does your client understand TCO?</t>
  </si>
  <si>
    <t>Has the client agreed to an assessment and physical walk-through?</t>
  </si>
  <si>
    <t>What is the client's decision criteria/process/weighted?</t>
  </si>
  <si>
    <t>Is the internal champion able to articulate our value and our ROI effectively?</t>
  </si>
  <si>
    <t>Have we validated our findings and financial data in a live meeting?</t>
  </si>
  <si>
    <t>Has the client approved the final SOW and technical requirements for installation?</t>
  </si>
  <si>
    <t xml:space="preserve"> </t>
  </si>
  <si>
    <t>Company Information</t>
  </si>
  <si>
    <t>Industry:</t>
  </si>
  <si>
    <t>Opportunity ID:</t>
  </si>
  <si>
    <t># Employees:</t>
  </si>
  <si>
    <t>123 Main St, Denver Colorado</t>
  </si>
  <si>
    <t>Service/Products:</t>
  </si>
  <si>
    <t>Retail</t>
  </si>
  <si>
    <t>Client Name:</t>
  </si>
  <si>
    <t>Last Updated:</t>
  </si>
  <si>
    <t>ABC Company</t>
  </si>
  <si>
    <t>VoIP (or whatever)</t>
  </si>
  <si>
    <t>Medium</t>
  </si>
  <si>
    <t>Monthly ACC amount</t>
  </si>
  <si>
    <t>Sales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</si>
</sst>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31"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entury Gothic"/>
      <family val="2"/>
    </font>
    <font>
      <sz val="11"/>
      <color theme="0"/>
      <name val="Calibri"/>
      <family val="2"/>
    </font>
    <font>
      <sz val="36"/>
      <color theme="1"/>
      <name val="Calibri"/>
      <family val="2"/>
    </font>
    <font>
      <sz val="11"/>
      <name val="Calibri"/>
      <family val="2"/>
    </font>
    <font>
      <sz val="8"/>
      <color theme="0"/>
      <name val="Calibri"/>
      <family val="2"/>
    </font>
    <font>
      <b/>
      <sz val="8"/>
      <color theme="0"/>
      <name val="Calibri"/>
      <family val="2"/>
    </font>
    <font>
      <sz val="11"/>
      <color theme="0" tint="-0.499984740745262"/>
      <name val="Calibri"/>
      <family val="2"/>
    </font>
    <font>
      <sz val="8"/>
      <color theme="0" tint="-0.499984740745262"/>
      <name val="Calibri"/>
      <family val="2"/>
    </font>
    <font>
      <b/>
      <sz val="11"/>
      <color theme="0"/>
      <name val="Calibri"/>
      <family val="2"/>
    </font>
    <font>
      <b/>
      <sz val="8"/>
      <color theme="0" tint="-0.499984740745262"/>
      <name val="Calibri"/>
      <family val="2"/>
    </font>
    <font>
      <sz val="11"/>
      <color theme="1"/>
      <name val="Segoe UI"/>
      <family val="2"/>
    </font>
    <font>
      <b/>
      <sz val="11"/>
      <color theme="1"/>
      <name val="Segoe UI"/>
      <family val="2"/>
    </font>
    <font>
      <sz val="10"/>
      <color theme="1"/>
      <name val="Segoe UI"/>
      <family val="2"/>
    </font>
    <font>
      <b/>
      <sz val="10"/>
      <color theme="1"/>
      <name val="Segoe UI"/>
      <family val="2"/>
    </font>
    <font>
      <b/>
      <sz val="11"/>
      <name val="Segoe UI"/>
      <family val="2"/>
    </font>
    <font>
      <sz val="11"/>
      <color theme="0" tint="-0.499984740745262"/>
      <name val="Segoe UI"/>
      <family val="2"/>
    </font>
    <font>
      <b/>
      <sz val="11"/>
      <color theme="0" tint="-0.499984740745262"/>
      <name val="Segoe UI"/>
      <family val="2"/>
    </font>
    <font>
      <sz val="8"/>
      <color theme="1"/>
      <name val="Segoe UI"/>
      <family val="2"/>
    </font>
    <font>
      <sz val="11"/>
      <color theme="0"/>
      <name val="Segoe UI"/>
      <family val="2"/>
    </font>
    <font>
      <sz val="9"/>
      <color indexed="81"/>
      <name val="Tahoma"/>
      <family val="2"/>
    </font>
    <font>
      <sz val="28"/>
      <color rgb="FF42677D"/>
      <name val="Segoe UI"/>
      <family val="2"/>
    </font>
    <font>
      <sz val="8"/>
      <name val="Calibri"/>
      <family val="2"/>
    </font>
    <font>
      <b/>
      <i/>
      <sz val="11"/>
      <color theme="0" tint="-0.499984740745262"/>
      <name val="Segoe UI"/>
      <family val="2"/>
    </font>
  </fonts>
  <fills count="8">
    <fill>
      <patternFill patternType="none"/>
    </fill>
    <fill>
      <patternFill patternType="gray125"/>
    </fill>
    <fill>
      <patternFill patternType="solid">
        <fgColor theme="0" tint="-4.9989318521683403E-2"/>
        <bgColor indexed="64"/>
      </patternFill>
    </fill>
    <fill>
      <patternFill patternType="solid">
        <fgColor rgb="FF42677D"/>
        <bgColor indexed="64"/>
      </patternFill>
    </fill>
    <fill>
      <patternFill patternType="solid">
        <fgColor rgb="FF2175AA"/>
        <bgColor indexed="64"/>
      </patternFill>
    </fill>
    <fill>
      <patternFill patternType="solid">
        <fgColor theme="4" tint="0.79998168889431442"/>
        <bgColor indexed="64"/>
      </patternFill>
    </fill>
    <fill>
      <patternFill patternType="solid">
        <fgColor theme="2"/>
        <bgColor indexed="64"/>
      </patternFill>
    </fill>
    <fill>
      <patternFill patternType="solid">
        <fgColor theme="1"/>
        <bgColor indexed="64"/>
      </patternFill>
    </fill>
  </fills>
  <borders count="17">
    <border>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s>
  <cellStyleXfs count="2">
    <xf numFmtId="0" fontId="0" fillId="0" borderId="0"/>
    <xf numFmtId="9" fontId="7" fillId="0" borderId="0" applyFont="0" applyFill="0" applyBorder="0" applyAlignment="0" applyProtection="0"/>
  </cellStyleXfs>
  <cellXfs count="155">
    <xf numFmtId="0" fontId="0" fillId="0" borderId="0" xfId="0"/>
    <xf numFmtId="0" fontId="8" fillId="0" borderId="0" xfId="0" applyFont="1"/>
    <xf numFmtId="0" fontId="8" fillId="0" borderId="0" xfId="0" applyFont="1" applyAlignment="1">
      <alignment horizontal="center"/>
    </xf>
    <xf numFmtId="0" fontId="9" fillId="0" borderId="0" xfId="0" applyFont="1"/>
    <xf numFmtId="0" fontId="9" fillId="0" borderId="0" xfId="0" applyFont="1" applyProtection="1">
      <protection hidden="1"/>
    </xf>
    <xf numFmtId="0" fontId="10" fillId="0" borderId="0" xfId="0" applyFont="1" applyBorder="1" applyAlignment="1">
      <alignment vertical="center"/>
    </xf>
    <xf numFmtId="0" fontId="8" fillId="0" borderId="0" xfId="0" applyFont="1" applyBorder="1"/>
    <xf numFmtId="0" fontId="8" fillId="0" borderId="0" xfId="0" applyFont="1" applyBorder="1" applyAlignment="1">
      <alignment horizontal="center"/>
    </xf>
    <xf numFmtId="0" fontId="0" fillId="0" borderId="0" xfId="0" applyBorder="1"/>
    <xf numFmtId="0" fontId="9" fillId="0" borderId="0" xfId="0" applyFont="1" applyBorder="1"/>
    <xf numFmtId="0" fontId="9" fillId="0" borderId="0" xfId="0" applyFont="1" applyBorder="1" applyProtection="1">
      <protection hidden="1"/>
    </xf>
    <xf numFmtId="0" fontId="11" fillId="0" borderId="0" xfId="0" applyFont="1" applyBorder="1"/>
    <xf numFmtId="0" fontId="12" fillId="0" borderId="0" xfId="0" applyFont="1" applyBorder="1" applyAlignment="1">
      <alignment vertical="center"/>
    </xf>
    <xf numFmtId="0" fontId="13" fillId="0" borderId="0" xfId="0" applyFont="1" applyBorder="1" applyAlignment="1" applyProtection="1">
      <alignment horizontal="center" vertical="center"/>
      <protection hidden="1"/>
    </xf>
    <xf numFmtId="0" fontId="15" fillId="0" borderId="0" xfId="0" applyFont="1" applyBorder="1" applyAlignment="1">
      <alignment horizontal="center" vertical="center"/>
    </xf>
    <xf numFmtId="0" fontId="15" fillId="0" borderId="0" xfId="0" applyFont="1" applyBorder="1" applyAlignment="1">
      <alignment vertical="center"/>
    </xf>
    <xf numFmtId="0" fontId="0" fillId="0" borderId="0" xfId="0" applyBorder="1" applyAlignment="1">
      <alignment vertical="center"/>
    </xf>
    <xf numFmtId="0" fontId="0" fillId="0" borderId="0" xfId="0" applyAlignment="1">
      <alignment vertical="center"/>
    </xf>
    <xf numFmtId="0" fontId="12" fillId="0" borderId="0" xfId="0" applyFont="1" applyBorder="1" applyProtection="1">
      <protection hidden="1"/>
    </xf>
    <xf numFmtId="0" fontId="15" fillId="0" borderId="0" xfId="0" applyFont="1" applyBorder="1"/>
    <xf numFmtId="0" fontId="14" fillId="0" borderId="0" xfId="0" applyFont="1" applyBorder="1"/>
    <xf numFmtId="0" fontId="15" fillId="0" borderId="0" xfId="0" applyFont="1" applyBorder="1" applyAlignment="1" applyProtection="1">
      <alignment horizontal="center" vertical="center"/>
      <protection hidden="1"/>
    </xf>
    <xf numFmtId="0" fontId="15" fillId="0" borderId="0" xfId="0" applyFont="1" applyBorder="1" applyAlignment="1" applyProtection="1">
      <alignment horizontal="left" vertical="center"/>
      <protection hidden="1"/>
    </xf>
    <xf numFmtId="0" fontId="15" fillId="0" borderId="0" xfId="0" applyFont="1" applyBorder="1" applyAlignment="1" applyProtection="1">
      <alignment horizontal="center"/>
      <protection hidden="1"/>
    </xf>
    <xf numFmtId="0" fontId="12" fillId="0" borderId="0" xfId="0" applyFont="1" applyBorder="1" applyAlignment="1" applyProtection="1">
      <alignment horizontal="center"/>
      <protection hidden="1"/>
    </xf>
    <xf numFmtId="9" fontId="15" fillId="0" borderId="0" xfId="1" applyFont="1" applyBorder="1" applyAlignment="1" applyProtection="1">
      <alignment horizontal="center"/>
      <protection hidden="1"/>
    </xf>
    <xf numFmtId="9" fontId="15" fillId="0" borderId="0" xfId="1" applyFont="1" applyBorder="1" applyProtection="1">
      <protection hidden="1"/>
    </xf>
    <xf numFmtId="0" fontId="14" fillId="0" borderId="0" xfId="0" applyFont="1" applyBorder="1" applyProtection="1">
      <protection hidden="1"/>
    </xf>
    <xf numFmtId="0" fontId="14" fillId="0" borderId="0" xfId="0" applyFont="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9" fillId="0" borderId="0" xfId="0" applyFont="1" applyBorder="1" applyAlignment="1" applyProtection="1">
      <alignment horizontal="center" vertical="center"/>
      <protection hidden="1"/>
    </xf>
    <xf numFmtId="9" fontId="14" fillId="0" borderId="0" xfId="1" applyFont="1" applyBorder="1" applyProtection="1">
      <protection hidden="1"/>
    </xf>
    <xf numFmtId="0" fontId="9" fillId="0" borderId="0" xfId="0" applyFont="1" applyBorder="1" applyAlignment="1">
      <alignment vertical="center"/>
    </xf>
    <xf numFmtId="0" fontId="16" fillId="0" borderId="0" xfId="0" applyFont="1" applyBorder="1" applyAlignment="1" applyProtection="1">
      <alignment horizontal="center" vertical="center"/>
      <protection hidden="1"/>
    </xf>
    <xf numFmtId="0" fontId="17" fillId="0" borderId="0" xfId="0" applyFont="1" applyBorder="1" applyAlignment="1" applyProtection="1">
      <alignment horizontal="center"/>
      <protection hidden="1"/>
    </xf>
    <xf numFmtId="0" fontId="19" fillId="2" borderId="1" xfId="0" applyFont="1" applyFill="1" applyBorder="1" applyAlignment="1">
      <alignment horizontal="center" vertical="top"/>
    </xf>
    <xf numFmtId="0" fontId="18" fillId="0" borderId="2" xfId="0" applyFont="1" applyFill="1" applyBorder="1" applyAlignment="1" applyProtection="1">
      <alignment horizontal="center" vertical="top"/>
      <protection locked="0"/>
    </xf>
    <xf numFmtId="0" fontId="21" fillId="2" borderId="1" xfId="0" applyFont="1" applyFill="1" applyBorder="1" applyAlignment="1">
      <alignment horizontal="center" vertical="top"/>
    </xf>
    <xf numFmtId="0" fontId="20" fillId="0" borderId="2" xfId="0" applyFont="1" applyFill="1" applyBorder="1" applyAlignment="1" applyProtection="1">
      <alignment horizontal="center" vertical="top"/>
      <protection locked="0"/>
    </xf>
    <xf numFmtId="0" fontId="19" fillId="0" borderId="0" xfId="0" applyFont="1" applyBorder="1" applyAlignment="1">
      <alignment horizontal="right"/>
    </xf>
    <xf numFmtId="0" fontId="20" fillId="2" borderId="2" xfId="0" applyFont="1" applyFill="1" applyBorder="1"/>
    <xf numFmtId="0" fontId="8" fillId="0" borderId="4" xfId="0" applyFont="1" applyBorder="1"/>
    <xf numFmtId="0" fontId="8" fillId="0" borderId="5" xfId="0" applyFont="1" applyBorder="1"/>
    <xf numFmtId="0" fontId="8" fillId="0" borderId="5" xfId="0" applyFont="1" applyBorder="1" applyAlignment="1">
      <alignment horizontal="center"/>
    </xf>
    <xf numFmtId="0" fontId="0" fillId="0" borderId="5" xfId="0" applyBorder="1"/>
    <xf numFmtId="0" fontId="9" fillId="0" borderId="5" xfId="0" applyFont="1" applyBorder="1"/>
    <xf numFmtId="0" fontId="9" fillId="0" borderId="5" xfId="0" applyFont="1" applyBorder="1" applyProtection="1">
      <protection hidden="1"/>
    </xf>
    <xf numFmtId="0" fontId="0" fillId="0" borderId="6" xfId="0" applyBorder="1"/>
    <xf numFmtId="0" fontId="8" fillId="0" borderId="7" xfId="0" applyFont="1" applyBorder="1"/>
    <xf numFmtId="0" fontId="10" fillId="0" borderId="8" xfId="0" applyFont="1" applyBorder="1" applyAlignment="1">
      <alignment vertical="center"/>
    </xf>
    <xf numFmtId="0" fontId="0" fillId="0" borderId="8" xfId="0" applyBorder="1"/>
    <xf numFmtId="0" fontId="8" fillId="0" borderId="7" xfId="0" applyFont="1" applyFill="1" applyBorder="1" applyAlignment="1">
      <alignment vertical="center"/>
    </xf>
    <xf numFmtId="0" fontId="14" fillId="0" borderId="0" xfId="0" applyFont="1" applyBorder="1" applyAlignment="1">
      <alignment vertical="center"/>
    </xf>
    <xf numFmtId="0" fontId="0" fillId="0" borderId="8" xfId="0" applyBorder="1" applyAlignment="1">
      <alignment vertical="center"/>
    </xf>
    <xf numFmtId="0" fontId="8" fillId="0" borderId="7" xfId="0" applyFont="1" applyFill="1" applyBorder="1"/>
    <xf numFmtId="0" fontId="8" fillId="0" borderId="7" xfId="0" applyFont="1" applyFill="1" applyBorder="1" applyAlignment="1">
      <alignment horizontal="center" vertical="center"/>
    </xf>
    <xf numFmtId="0" fontId="0" fillId="0" borderId="8" xfId="0" applyBorder="1" applyAlignment="1">
      <alignment horizontal="center" vertical="center"/>
    </xf>
    <xf numFmtId="0" fontId="8" fillId="0" borderId="9" xfId="0" applyFont="1" applyBorder="1"/>
    <xf numFmtId="0" fontId="8" fillId="0" borderId="10" xfId="0" applyFont="1" applyBorder="1"/>
    <xf numFmtId="0" fontId="8" fillId="0" borderId="10" xfId="0" applyFont="1" applyBorder="1" applyAlignment="1">
      <alignment horizontal="center"/>
    </xf>
    <xf numFmtId="0" fontId="0" fillId="0" borderId="10" xfId="0" applyBorder="1"/>
    <xf numFmtId="0" fontId="9" fillId="0" borderId="10" xfId="0" applyFont="1" applyBorder="1"/>
    <xf numFmtId="0" fontId="9" fillId="0" borderId="10" xfId="0" applyFont="1" applyBorder="1" applyProtection="1">
      <protection hidden="1"/>
    </xf>
    <xf numFmtId="0" fontId="14" fillId="0" borderId="10" xfId="0" applyFont="1" applyBorder="1"/>
    <xf numFmtId="0" fontId="0" fillId="0" borderId="11" xfId="0" applyBorder="1"/>
    <xf numFmtId="9" fontId="12" fillId="0" borderId="10" xfId="1" applyFont="1" applyBorder="1" applyProtection="1">
      <protection hidden="1"/>
    </xf>
    <xf numFmtId="0" fontId="25" fillId="0" borderId="3" xfId="0" applyFont="1" applyFill="1" applyBorder="1" applyAlignment="1" applyProtection="1">
      <alignment horizontal="left" vertical="top" wrapText="1"/>
      <protection locked="0"/>
    </xf>
    <xf numFmtId="0" fontId="18" fillId="3" borderId="0" xfId="0" applyFont="1" applyFill="1" applyBorder="1" applyAlignment="1">
      <alignment vertical="center"/>
    </xf>
    <xf numFmtId="0" fontId="26" fillId="3" borderId="0" xfId="0" applyFont="1" applyFill="1" applyBorder="1" applyAlignment="1">
      <alignment vertical="center"/>
    </xf>
    <xf numFmtId="0" fontId="26" fillId="3" borderId="0" xfId="0" applyFont="1" applyFill="1" applyBorder="1" applyAlignment="1">
      <alignment horizontal="right" vertical="center"/>
    </xf>
    <xf numFmtId="0" fontId="0" fillId="3" borderId="0" xfId="0" applyFill="1" applyBorder="1" applyAlignment="1">
      <alignment vertical="center"/>
    </xf>
    <xf numFmtId="0" fontId="18" fillId="3" borderId="0" xfId="0" applyFont="1" applyFill="1" applyBorder="1"/>
    <xf numFmtId="0" fontId="18" fillId="3" borderId="0" xfId="0" applyFont="1" applyFill="1" applyBorder="1" applyAlignment="1">
      <alignment horizontal="center" vertical="center"/>
    </xf>
    <xf numFmtId="0" fontId="18" fillId="3" borderId="0" xfId="0" applyFont="1" applyFill="1" applyBorder="1" applyAlignment="1">
      <alignment horizontal="center"/>
    </xf>
    <xf numFmtId="0" fontId="0" fillId="3" borderId="0" xfId="0" applyFill="1" applyBorder="1"/>
    <xf numFmtId="0" fontId="0" fillId="3" borderId="0" xfId="0" applyFill="1" applyBorder="1" applyAlignment="1">
      <alignment horizontal="center" vertical="center"/>
    </xf>
    <xf numFmtId="0" fontId="19" fillId="3" borderId="0" xfId="0" applyFont="1" applyFill="1" applyBorder="1" applyAlignment="1">
      <alignment horizontal="center"/>
    </xf>
    <xf numFmtId="0" fontId="21" fillId="3" borderId="0" xfId="0" applyFont="1" applyFill="1" applyBorder="1" applyAlignment="1">
      <alignment horizontal="center"/>
    </xf>
    <xf numFmtId="0" fontId="20" fillId="3" borderId="0" xfId="0" applyFont="1" applyFill="1" applyBorder="1"/>
    <xf numFmtId="0" fontId="20" fillId="3" borderId="0" xfId="0" applyFont="1" applyFill="1" applyBorder="1" applyAlignment="1">
      <alignment horizontal="center" vertical="center"/>
    </xf>
    <xf numFmtId="0" fontId="26" fillId="3" borderId="0" xfId="0" applyFont="1" applyFill="1" applyBorder="1" applyAlignment="1"/>
    <xf numFmtId="0" fontId="26" fillId="3" borderId="0" xfId="0" applyFont="1" applyFill="1" applyBorder="1" applyAlignment="1">
      <alignment horizontal="right"/>
    </xf>
    <xf numFmtId="0" fontId="0" fillId="4" borderId="0" xfId="0" applyFill="1"/>
    <xf numFmtId="0" fontId="0" fillId="0" borderId="0" xfId="0" applyFill="1"/>
    <xf numFmtId="0" fontId="0" fillId="0" borderId="12" xfId="0" applyBorder="1"/>
    <xf numFmtId="0" fontId="0" fillId="0" borderId="12" xfId="0" applyFill="1" applyBorder="1"/>
    <xf numFmtId="0" fontId="0" fillId="0" borderId="10" xfId="0" applyFill="1" applyBorder="1"/>
    <xf numFmtId="0" fontId="0" fillId="2" borderId="12" xfId="0" applyFill="1" applyBorder="1"/>
    <xf numFmtId="0" fontId="0" fillId="5" borderId="12" xfId="0" applyFill="1" applyBorder="1"/>
    <xf numFmtId="0" fontId="6" fillId="5" borderId="12" xfId="0" applyFont="1" applyFill="1" applyBorder="1"/>
    <xf numFmtId="0" fontId="21" fillId="2" borderId="12" xfId="0" applyFont="1" applyFill="1" applyBorder="1" applyAlignment="1">
      <alignment horizontal="center" vertical="top"/>
    </xf>
    <xf numFmtId="0" fontId="18" fillId="0" borderId="12" xfId="0" applyFont="1" applyFill="1" applyBorder="1"/>
    <xf numFmtId="0" fontId="20" fillId="0" borderId="12" xfId="0" applyFont="1" applyFill="1" applyBorder="1"/>
    <xf numFmtId="0" fontId="26" fillId="4" borderId="12" xfId="0" applyFont="1" applyFill="1" applyBorder="1" applyAlignment="1">
      <alignment vertical="center"/>
    </xf>
    <xf numFmtId="0" fontId="18" fillId="4" borderId="12" xfId="0" applyFont="1" applyFill="1" applyBorder="1" applyAlignment="1">
      <alignment horizontal="center" vertical="center"/>
    </xf>
    <xf numFmtId="0" fontId="6" fillId="0" borderId="12" xfId="0" applyFont="1" applyFill="1" applyBorder="1"/>
    <xf numFmtId="0" fontId="6" fillId="0" borderId="12" xfId="0" applyFont="1" applyBorder="1"/>
    <xf numFmtId="0" fontId="26" fillId="4" borderId="12" xfId="0" applyFont="1" applyFill="1" applyBorder="1" applyAlignment="1"/>
    <xf numFmtId="0" fontId="19" fillId="2" borderId="12" xfId="0" applyFont="1" applyFill="1" applyBorder="1" applyAlignment="1">
      <alignment horizontal="center" vertical="top"/>
    </xf>
    <xf numFmtId="0" fontId="26" fillId="4" borderId="10" xfId="0" applyFont="1" applyFill="1" applyBorder="1" applyAlignment="1">
      <alignment vertical="center"/>
    </xf>
    <xf numFmtId="0" fontId="18" fillId="4" borderId="10" xfId="0" applyFont="1" applyFill="1" applyBorder="1" applyAlignment="1">
      <alignment vertical="center"/>
    </xf>
    <xf numFmtId="0" fontId="5" fillId="0" borderId="12" xfId="0" applyFont="1" applyFill="1" applyBorder="1"/>
    <xf numFmtId="0" fontId="4" fillId="0" borderId="12" xfId="0" applyFont="1" applyBorder="1"/>
    <xf numFmtId="0" fontId="0" fillId="6" borderId="0" xfId="0" applyFill="1" applyBorder="1"/>
    <xf numFmtId="0" fontId="9" fillId="6" borderId="0" xfId="0" applyFont="1" applyFill="1" applyBorder="1"/>
    <xf numFmtId="0" fontId="9" fillId="6" borderId="0" xfId="0" applyFont="1" applyFill="1" applyBorder="1" applyProtection="1">
      <protection hidden="1"/>
    </xf>
    <xf numFmtId="14" fontId="24" fillId="6" borderId="0" xfId="0" applyNumberFormat="1" applyFont="1" applyFill="1" applyBorder="1" applyAlignment="1" applyProtection="1">
      <alignment horizontal="left" indent="4"/>
      <protection locked="0"/>
    </xf>
    <xf numFmtId="0" fontId="3" fillId="0" borderId="12" xfId="0" applyFont="1" applyBorder="1"/>
    <xf numFmtId="0" fontId="0" fillId="6" borderId="12" xfId="0" applyFill="1" applyBorder="1"/>
    <xf numFmtId="0" fontId="2" fillId="5" borderId="12" xfId="0" applyFont="1" applyFill="1" applyBorder="1"/>
    <xf numFmtId="0" fontId="11" fillId="0" borderId="0" xfId="0" applyFont="1" applyProtection="1">
      <protection hidden="1"/>
    </xf>
    <xf numFmtId="0" fontId="11" fillId="0" borderId="5" xfId="0" applyFont="1" applyBorder="1" applyProtection="1">
      <protection hidden="1"/>
    </xf>
    <xf numFmtId="0" fontId="11" fillId="0" borderId="0" xfId="0" applyFont="1" applyBorder="1" applyProtection="1">
      <protection hidden="1"/>
    </xf>
    <xf numFmtId="0" fontId="29" fillId="0" borderId="0" xfId="0" applyFont="1" applyBorder="1" applyAlignment="1">
      <alignment vertical="center"/>
    </xf>
    <xf numFmtId="0" fontId="29" fillId="0" borderId="0" xfId="0" applyFont="1" applyBorder="1" applyProtection="1">
      <protection hidden="1"/>
    </xf>
    <xf numFmtId="9" fontId="11" fillId="0" borderId="0" xfId="1" applyFont="1" applyBorder="1" applyProtection="1">
      <protection hidden="1"/>
    </xf>
    <xf numFmtId="0" fontId="11" fillId="0" borderId="10" xfId="0" applyFont="1" applyBorder="1" applyProtection="1">
      <protection hidden="1"/>
    </xf>
    <xf numFmtId="14" fontId="24" fillId="7" borderId="0" xfId="0" applyNumberFormat="1" applyFont="1" applyFill="1" applyBorder="1" applyAlignment="1" applyProtection="1">
      <alignment horizontal="left" indent="4"/>
      <protection locked="0"/>
    </xf>
    <xf numFmtId="0" fontId="0" fillId="7" borderId="0" xfId="0" applyFill="1" applyBorder="1"/>
    <xf numFmtId="0" fontId="9" fillId="7" borderId="0" xfId="0" applyFont="1" applyFill="1" applyBorder="1"/>
    <xf numFmtId="0" fontId="9" fillId="7" borderId="0" xfId="0" applyFont="1" applyFill="1" applyBorder="1" applyProtection="1">
      <protection hidden="1"/>
    </xf>
    <xf numFmtId="14" fontId="24" fillId="6" borderId="12" xfId="0" applyNumberFormat="1" applyFont="1" applyFill="1" applyBorder="1" applyAlignment="1" applyProtection="1">
      <alignment horizontal="left" indent="4"/>
      <protection locked="0"/>
    </xf>
    <xf numFmtId="0" fontId="9" fillId="6" borderId="12" xfId="0" applyFont="1" applyFill="1" applyBorder="1"/>
    <xf numFmtId="0" fontId="9" fillId="6" borderId="12" xfId="0" applyFont="1" applyFill="1" applyBorder="1" applyProtection="1">
      <protection hidden="1"/>
    </xf>
    <xf numFmtId="0" fontId="11" fillId="0" borderId="0" xfId="0" applyFont="1" applyFill="1" applyBorder="1" applyProtection="1">
      <protection hidden="1"/>
    </xf>
    <xf numFmtId="0" fontId="24" fillId="0" borderId="0" xfId="0" applyFont="1" applyFill="1" applyBorder="1" applyProtection="1">
      <protection hidden="1"/>
    </xf>
    <xf numFmtId="14" fontId="22" fillId="6" borderId="15" xfId="0" applyNumberFormat="1" applyFont="1" applyFill="1" applyBorder="1" applyAlignment="1" applyProtection="1">
      <alignment horizontal="right" wrapText="1"/>
      <protection locked="0"/>
    </xf>
    <xf numFmtId="22" fontId="23" fillId="7" borderId="16" xfId="0" applyNumberFormat="1" applyFont="1" applyFill="1" applyBorder="1" applyAlignment="1">
      <alignment horizontal="right" indent="1"/>
    </xf>
    <xf numFmtId="22" fontId="30" fillId="6" borderId="13" xfId="0" applyNumberFormat="1" applyFont="1" applyFill="1" applyBorder="1" applyAlignment="1">
      <alignment horizontal="left" indent="1"/>
    </xf>
    <xf numFmtId="22" fontId="30" fillId="6" borderId="14" xfId="0" applyNumberFormat="1" applyFont="1" applyFill="1" applyBorder="1" applyAlignment="1">
      <alignment horizontal="left" indent="1"/>
    </xf>
    <xf numFmtId="22" fontId="30" fillId="6" borderId="4" xfId="0" applyNumberFormat="1" applyFont="1" applyFill="1" applyBorder="1" applyAlignment="1"/>
    <xf numFmtId="14" fontId="24" fillId="6" borderId="5" xfId="0" applyNumberFormat="1" applyFont="1" applyFill="1" applyBorder="1" applyAlignment="1" applyProtection="1">
      <alignment wrapText="1"/>
      <protection locked="0"/>
    </xf>
    <xf numFmtId="1" fontId="24" fillId="6" borderId="12" xfId="0" applyNumberFormat="1" applyFont="1" applyFill="1" applyBorder="1" applyAlignment="1" applyProtection="1">
      <protection locked="0"/>
    </xf>
    <xf numFmtId="1" fontId="24" fillId="6" borderId="12" xfId="0" applyNumberFormat="1" applyFont="1" applyFill="1" applyBorder="1" applyAlignment="1" applyProtection="1">
      <alignment horizontal="left" indent="4"/>
      <protection locked="0"/>
    </xf>
    <xf numFmtId="0" fontId="0" fillId="6" borderId="10" xfId="0" applyFill="1" applyBorder="1"/>
    <xf numFmtId="0" fontId="9" fillId="6" borderId="10" xfId="0" applyFont="1" applyFill="1" applyBorder="1"/>
    <xf numFmtId="0" fontId="9" fillId="6" borderId="10" xfId="0" applyFont="1" applyFill="1" applyBorder="1" applyProtection="1">
      <protection hidden="1"/>
    </xf>
    <xf numFmtId="0" fontId="22" fillId="6" borderId="12" xfId="0" applyFont="1" applyFill="1" applyBorder="1"/>
    <xf numFmtId="0" fontId="19" fillId="6" borderId="6" xfId="0" applyFont="1" applyFill="1" applyBorder="1"/>
    <xf numFmtId="0" fontId="19" fillId="6" borderId="5" xfId="0" applyFont="1" applyFill="1" applyBorder="1"/>
    <xf numFmtId="0" fontId="22" fillId="6" borderId="15" xfId="0" applyFont="1" applyFill="1" applyBorder="1"/>
    <xf numFmtId="0" fontId="9" fillId="6" borderId="15" xfId="0" applyFont="1" applyFill="1" applyBorder="1" applyProtection="1">
      <protection hidden="1"/>
    </xf>
    <xf numFmtId="22" fontId="30" fillId="6" borderId="4" xfId="0" applyNumberFormat="1" applyFont="1" applyFill="1" applyBorder="1" applyAlignment="1">
      <alignment horizontal="left"/>
    </xf>
    <xf numFmtId="49" fontId="30" fillId="6" borderId="4" xfId="0" applyNumberFormat="1" applyFont="1" applyFill="1" applyBorder="1" applyAlignment="1">
      <alignment horizontal="left" indent="1"/>
    </xf>
    <xf numFmtId="164" fontId="30" fillId="6" borderId="13" xfId="0" applyNumberFormat="1" applyFont="1" applyFill="1" applyBorder="1" applyAlignment="1">
      <alignment horizontal="left" indent="1"/>
    </xf>
    <xf numFmtId="0" fontId="9" fillId="6" borderId="6" xfId="0" applyFont="1" applyFill="1" applyBorder="1" applyProtection="1">
      <protection hidden="1"/>
    </xf>
    <xf numFmtId="22" fontId="30" fillId="6" borderId="4" xfId="0" applyNumberFormat="1" applyFont="1" applyFill="1" applyBorder="1" applyAlignment="1">
      <alignment horizontal="left" indent="1"/>
    </xf>
    <xf numFmtId="14" fontId="24" fillId="6" borderId="10" xfId="0" applyNumberFormat="1" applyFont="1" applyFill="1" applyBorder="1" applyAlignment="1" applyProtection="1">
      <alignment horizontal="left" indent="4"/>
      <protection locked="0"/>
    </xf>
    <xf numFmtId="0" fontId="30" fillId="6" borderId="13" xfId="0" applyFont="1" applyFill="1" applyBorder="1" applyAlignment="1">
      <alignment horizontal="left"/>
    </xf>
    <xf numFmtId="0" fontId="30" fillId="6" borderId="12" xfId="0" applyFont="1" applyFill="1" applyBorder="1" applyAlignment="1">
      <alignment horizontal="left"/>
    </xf>
    <xf numFmtId="0" fontId="30" fillId="6" borderId="6" xfId="0" applyFont="1" applyFill="1" applyBorder="1" applyAlignment="1">
      <alignment horizontal="left"/>
    </xf>
    <xf numFmtId="0" fontId="28" fillId="0" borderId="0" xfId="0" applyFont="1" applyBorder="1" applyAlignment="1">
      <alignment horizontal="center" vertical="center"/>
    </xf>
    <xf numFmtId="0" fontId="22" fillId="0" borderId="0" xfId="0" applyFont="1" applyFill="1" applyBorder="1" applyAlignment="1" applyProtection="1">
      <alignment horizontal="center"/>
      <protection locked="0"/>
    </xf>
    <xf numFmtId="0" fontId="23" fillId="0" borderId="0" xfId="0" applyFont="1" applyFill="1" applyBorder="1" applyAlignment="1" applyProtection="1">
      <alignment horizontal="center"/>
      <protection locked="0"/>
    </xf>
  </cellXfs>
  <cellStyles count="2">
    <cellStyle name="Normal" xfId="0" builtinId="0"/>
    <cellStyle name="Percent" xfId="1" builtinId="5"/>
  </cellStyles>
  <dxfs count="72">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ill>
        <patternFill>
          <bgColor theme="0" tint="-0.14996795556505021"/>
        </patternFill>
      </fill>
      <border>
        <left/>
        <right/>
        <top/>
        <bottom/>
      </border>
    </dxf>
    <dxf>
      <fill>
        <patternFill>
          <bgColor theme="0" tint="-0.14996795556505021"/>
        </patternFill>
      </fill>
      <border>
        <left/>
        <right/>
        <top/>
        <bottom/>
      </border>
    </dxf>
    <dxf>
      <fill>
        <patternFill>
          <bgColor theme="0" tint="-0.14996795556505021"/>
        </patternFill>
      </fill>
      <border>
        <left/>
        <right/>
        <top/>
        <bottom/>
      </border>
    </dxf>
    <dxf>
      <fill>
        <patternFill>
          <bgColor theme="0" tint="-0.14996795556505021"/>
        </patternFill>
      </fill>
      <border>
        <left/>
        <right/>
        <top/>
        <bottom/>
      </border>
    </dxf>
    <dxf>
      <fill>
        <patternFill>
          <bgColor theme="0" tint="-0.14996795556505021"/>
        </patternFill>
      </fill>
      <border>
        <left/>
        <right/>
        <top/>
        <bottom/>
      </border>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ont>
        <b/>
        <i val="0"/>
        <color rgb="FF00B050"/>
      </font>
    </dxf>
    <dxf>
      <font>
        <b/>
        <i val="0"/>
        <color rgb="FFC00000"/>
      </font>
    </dxf>
    <dxf>
      <font>
        <b/>
        <i val="0"/>
        <color rgb="FFFFC000"/>
      </font>
    </dxf>
    <dxf>
      <fill>
        <patternFill>
          <bgColor theme="0" tint="-0.14996795556505021"/>
        </patternFill>
      </fill>
      <border>
        <left/>
        <right/>
        <top/>
        <bottom/>
      </border>
    </dxf>
    <dxf>
      <font>
        <b/>
        <i val="0"/>
        <color rgb="FF00B050"/>
      </font>
    </dxf>
    <dxf>
      <font>
        <b/>
        <i val="0"/>
        <color rgb="FFC00000"/>
      </font>
    </dxf>
    <dxf>
      <font>
        <b/>
        <i val="0"/>
        <color rgb="FFFFC000"/>
      </font>
    </dxf>
    <dxf>
      <fill>
        <patternFill>
          <bgColor theme="0" tint="-0.14996795556505021"/>
        </patternFill>
      </fill>
      <border>
        <left/>
        <right/>
        <top/>
        <bottom/>
      </border>
    </dxf>
    <dxf>
      <fill>
        <patternFill>
          <bgColor theme="0" tint="-0.14996795556505021"/>
        </patternFill>
      </fill>
      <border>
        <left/>
        <right/>
        <top/>
        <bottom/>
      </border>
    </dxf>
  </dxfs>
  <tableStyles count="0" defaultTableStyle="TableStyleMedium2" defaultPivotStyle="PivotStyleLight16"/>
  <colors>
    <mruColors>
      <color rgb="FF42677D"/>
      <color rgb="FFFFC000"/>
      <color rgb="FF008000"/>
      <color rgb="FF2175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8000"/>
            </a:solidFill>
            <a:ln w="9525" cap="flat" cmpd="sng" algn="ctr">
              <a:solidFill>
                <a:schemeClr val="lt1">
                  <a:alpha val="50000"/>
                </a:schemeClr>
              </a:solidFill>
              <a:round/>
            </a:ln>
            <a:effectLst/>
          </c:spPr>
          <c:invertIfNegative val="0"/>
          <c:val>
            <c:numRef>
              <c:f>'Strategic Deal Diagnostic'!$K$36</c:f>
              <c:numCache>
                <c:formatCode>0%</c:formatCode>
                <c:ptCount val="1"/>
                <c:pt idx="0">
                  <c:v>8.3333333333333329E-2</c:v>
                </c:pt>
              </c:numCache>
            </c:numRef>
          </c:val>
          <c:extLst>
            <c:ext xmlns:c16="http://schemas.microsoft.com/office/drawing/2014/chart" uri="{C3380CC4-5D6E-409C-BE32-E72D297353CC}">
              <c16:uniqueId val="{00000002-40D2-45AC-9C19-175DCD469720}"/>
            </c:ext>
          </c:extLst>
        </c:ser>
        <c:ser>
          <c:idx val="2"/>
          <c:order val="1"/>
          <c:spPr>
            <a:solidFill>
              <a:srgbClr val="FFC000"/>
            </a:solidFill>
            <a:ln w="9525" cap="flat" cmpd="sng" algn="ctr">
              <a:solidFill>
                <a:schemeClr val="lt1">
                  <a:alpha val="50000"/>
                </a:schemeClr>
              </a:solidFill>
              <a:round/>
            </a:ln>
            <a:effectLst/>
          </c:spPr>
          <c:invertIfNegative val="0"/>
          <c:val>
            <c:numRef>
              <c:f>'Strategic Deal Diagnostic'!$M$36</c:f>
              <c:numCache>
                <c:formatCode>0%</c:formatCode>
                <c:ptCount val="1"/>
                <c:pt idx="0">
                  <c:v>0.75</c:v>
                </c:pt>
              </c:numCache>
            </c:numRef>
          </c:val>
          <c:extLst>
            <c:ext xmlns:c16="http://schemas.microsoft.com/office/drawing/2014/chart" uri="{C3380CC4-5D6E-409C-BE32-E72D297353CC}">
              <c16:uniqueId val="{00000006-40D2-45AC-9C19-175DCD469720}"/>
            </c:ext>
          </c:extLst>
        </c:ser>
        <c:ser>
          <c:idx val="3"/>
          <c:order val="2"/>
          <c:spPr>
            <a:solidFill>
              <a:srgbClr val="C00000"/>
            </a:solidFill>
            <a:ln w="9525" cap="flat" cmpd="sng" algn="ctr">
              <a:solidFill>
                <a:schemeClr val="lt1">
                  <a:alpha val="50000"/>
                </a:schemeClr>
              </a:solidFill>
              <a:round/>
            </a:ln>
            <a:effectLst/>
          </c:spPr>
          <c:invertIfNegative val="0"/>
          <c:val>
            <c:numRef>
              <c:f>'Strategic Deal Diagnostic'!$L$36</c:f>
              <c:numCache>
                <c:formatCode>0%</c:formatCode>
                <c:ptCount val="1"/>
                <c:pt idx="0">
                  <c:v>0.16666666666666666</c:v>
                </c:pt>
              </c:numCache>
            </c:numRef>
          </c:val>
          <c:extLst>
            <c:ext xmlns:c16="http://schemas.microsoft.com/office/drawing/2014/chart" uri="{C3380CC4-5D6E-409C-BE32-E72D297353CC}">
              <c16:uniqueId val="{00000005-40D2-45AC-9C19-175DCD469720}"/>
            </c:ext>
          </c:extLst>
        </c:ser>
        <c:dLbls>
          <c:showLegendKey val="0"/>
          <c:showVal val="0"/>
          <c:showCatName val="0"/>
          <c:showSerName val="0"/>
          <c:showPercent val="0"/>
          <c:showBubbleSize val="0"/>
        </c:dLbls>
        <c:gapWidth val="12"/>
        <c:overlap val="100"/>
        <c:axId val="187450112"/>
        <c:axId val="187451648"/>
      </c:barChart>
      <c:catAx>
        <c:axId val="187450112"/>
        <c:scaling>
          <c:orientation val="minMax"/>
        </c:scaling>
        <c:delete val="1"/>
        <c:axPos val="b"/>
        <c:majorTickMark val="out"/>
        <c:minorTickMark val="none"/>
        <c:tickLblPos val="nextTo"/>
        <c:crossAx val="187451648"/>
        <c:crosses val="autoZero"/>
        <c:auto val="1"/>
        <c:lblAlgn val="ctr"/>
        <c:lblOffset val="100"/>
        <c:noMultiLvlLbl val="0"/>
      </c:catAx>
      <c:valAx>
        <c:axId val="187451648"/>
        <c:scaling>
          <c:orientation val="minMax"/>
          <c:max val="1"/>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crossAx val="187450112"/>
        <c:crosses val="autoZero"/>
        <c:crossBetween val="between"/>
      </c:valAx>
      <c:spPr>
        <a:noFill/>
        <a:ln>
          <a:noFill/>
        </a:ln>
        <a:effectLst/>
      </c:spPr>
    </c:plotArea>
    <c:plotVisOnly val="1"/>
    <c:dispBlanksAs val="gap"/>
    <c:showDLblsOverMax val="0"/>
  </c:chart>
  <c:spPr>
    <a:solidFill>
      <a:schemeClr val="tx1"/>
    </a:solidFill>
    <a:ln w="28575" cap="flat" cmpd="sng" algn="ctr">
      <a:noFill/>
      <a:round/>
    </a:ln>
    <a:effectLst>
      <a:glow rad="101600">
        <a:schemeClr val="bg1">
          <a:lumMod val="50000"/>
          <a:alpha val="60000"/>
        </a:schemeClr>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8000"/>
            </a:solidFill>
            <a:ln w="9525" cap="flat" cmpd="sng" algn="ctr">
              <a:solidFill>
                <a:schemeClr val="lt1">
                  <a:alpha val="50000"/>
                </a:schemeClr>
              </a:solidFill>
              <a:round/>
            </a:ln>
            <a:effectLst/>
          </c:spPr>
          <c:invertIfNegative val="0"/>
          <c:val>
            <c:numRef>
              <c:f>'Strategic Deal Diagnostic'!$K$19</c:f>
              <c:numCache>
                <c:formatCode>0%</c:formatCode>
                <c:ptCount val="1"/>
                <c:pt idx="0">
                  <c:v>0</c:v>
                </c:pt>
              </c:numCache>
            </c:numRef>
          </c:val>
          <c:extLst>
            <c:ext xmlns:c16="http://schemas.microsoft.com/office/drawing/2014/chart" uri="{C3380CC4-5D6E-409C-BE32-E72D297353CC}">
              <c16:uniqueId val="{00000000-9B9F-4EA1-928B-F797AC54D51D}"/>
            </c:ext>
          </c:extLst>
        </c:ser>
        <c:ser>
          <c:idx val="2"/>
          <c:order val="1"/>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rgbClr val="FFC000"/>
              </a:solidFill>
              <a:ln w="9525" cap="flat" cmpd="sng" algn="ctr">
                <a:solidFill>
                  <a:schemeClr val="lt1">
                    <a:alpha val="50000"/>
                  </a:schemeClr>
                </a:solidFill>
                <a:round/>
              </a:ln>
              <a:effectLst/>
            </c:spPr>
            <c:extLst>
              <c:ext xmlns:c16="http://schemas.microsoft.com/office/drawing/2014/chart" uri="{C3380CC4-5D6E-409C-BE32-E72D297353CC}">
                <c16:uniqueId val="{00000005-F17F-45E6-9815-DFE855BCC4CD}"/>
              </c:ext>
            </c:extLst>
          </c:dPt>
          <c:val>
            <c:numRef>
              <c:f>'Strategic Deal Diagnostic'!$M$19</c:f>
              <c:numCache>
                <c:formatCode>0%</c:formatCode>
                <c:ptCount val="1"/>
                <c:pt idx="0">
                  <c:v>1</c:v>
                </c:pt>
              </c:numCache>
            </c:numRef>
          </c:val>
          <c:extLst>
            <c:ext xmlns:c16="http://schemas.microsoft.com/office/drawing/2014/chart" uri="{C3380CC4-5D6E-409C-BE32-E72D297353CC}">
              <c16:uniqueId val="{00000001-9B9F-4EA1-928B-F797AC54D51D}"/>
            </c:ext>
          </c:extLst>
        </c:ser>
        <c:ser>
          <c:idx val="3"/>
          <c:order val="2"/>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spPr>
              <a:solidFill>
                <a:srgbClr val="C00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3-9B9F-4EA1-928B-F797AC54D51D}"/>
              </c:ext>
            </c:extLst>
          </c:dPt>
          <c:val>
            <c:numRef>
              <c:f>'Strategic Deal Diagnostic'!$L$19</c:f>
              <c:numCache>
                <c:formatCode>0%</c:formatCode>
                <c:ptCount val="1"/>
                <c:pt idx="0">
                  <c:v>0</c:v>
                </c:pt>
              </c:numCache>
            </c:numRef>
          </c:val>
          <c:extLst>
            <c:ext xmlns:c16="http://schemas.microsoft.com/office/drawing/2014/chart" uri="{C3380CC4-5D6E-409C-BE32-E72D297353CC}">
              <c16:uniqueId val="{00000004-9B9F-4EA1-928B-F797AC54D51D}"/>
            </c:ext>
          </c:extLst>
        </c:ser>
        <c:dLbls>
          <c:showLegendKey val="0"/>
          <c:showVal val="0"/>
          <c:showCatName val="0"/>
          <c:showSerName val="0"/>
          <c:showPercent val="0"/>
          <c:showBubbleSize val="0"/>
        </c:dLbls>
        <c:gapWidth val="15"/>
        <c:overlap val="100"/>
        <c:axId val="187488128"/>
        <c:axId val="187489664"/>
        <c:extLst/>
      </c:barChart>
      <c:catAx>
        <c:axId val="187488128"/>
        <c:scaling>
          <c:orientation val="minMax"/>
        </c:scaling>
        <c:delete val="1"/>
        <c:axPos val="b"/>
        <c:majorTickMark val="none"/>
        <c:minorTickMark val="none"/>
        <c:tickLblPos val="nextTo"/>
        <c:crossAx val="187489664"/>
        <c:crosses val="autoZero"/>
        <c:auto val="1"/>
        <c:lblAlgn val="ctr"/>
        <c:lblOffset val="100"/>
        <c:noMultiLvlLbl val="0"/>
      </c:catAx>
      <c:valAx>
        <c:axId val="187489664"/>
        <c:scaling>
          <c:orientation val="minMax"/>
          <c:max val="1"/>
        </c:scaling>
        <c:delete val="1"/>
        <c:axPos val="l"/>
        <c:numFmt formatCode="0%" sourceLinked="1"/>
        <c:majorTickMark val="none"/>
        <c:minorTickMark val="none"/>
        <c:tickLblPos val="nextTo"/>
        <c:crossAx val="1874881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chemeClr val="tx1">
          <a:lumMod val="50000"/>
          <a:lumOff val="50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B050">
                <a:alpha val="85000"/>
              </a:srgbClr>
            </a:solidFill>
            <a:ln w="9525" cap="flat" cmpd="sng" algn="ctr">
              <a:solidFill>
                <a:schemeClr val="lt1">
                  <a:alpha val="50000"/>
                </a:schemeClr>
              </a:solidFill>
              <a:round/>
            </a:ln>
            <a:effectLst/>
          </c:spPr>
          <c:invertIfNegative val="0"/>
          <c:dPt>
            <c:idx val="0"/>
            <c:invertIfNegative val="0"/>
            <c:bubble3D val="0"/>
            <c:spPr>
              <a:solidFill>
                <a:srgbClr val="008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1-C0C4-4C9A-AEB6-DF3FCFD451E2}"/>
              </c:ext>
            </c:extLst>
          </c:dPt>
          <c:val>
            <c:numRef>
              <c:f>'Strategic Deal Diagnostic'!$K$24</c:f>
              <c:numCache>
                <c:formatCode>0%</c:formatCode>
                <c:ptCount val="1"/>
                <c:pt idx="0">
                  <c:v>0</c:v>
                </c:pt>
              </c:numCache>
            </c:numRef>
          </c:val>
          <c:extLst>
            <c:ext xmlns:c16="http://schemas.microsoft.com/office/drawing/2014/chart" uri="{C3380CC4-5D6E-409C-BE32-E72D297353CC}">
              <c16:uniqueId val="{00000002-C0C4-4C9A-AEB6-DF3FCFD451E2}"/>
            </c:ext>
          </c:extLst>
        </c:ser>
        <c:ser>
          <c:idx val="2"/>
          <c:order val="1"/>
          <c:spPr>
            <a:solidFill>
              <a:srgbClr val="FFC000">
                <a:alpha val="85000"/>
              </a:srgbClr>
            </a:solidFill>
            <a:ln w="9525" cap="flat" cmpd="sng" algn="ctr">
              <a:solidFill>
                <a:schemeClr val="lt1">
                  <a:alpha val="50000"/>
                </a:schemeClr>
              </a:solidFill>
              <a:round/>
            </a:ln>
            <a:effectLst/>
          </c:spPr>
          <c:invertIfNegative val="0"/>
          <c:val>
            <c:numRef>
              <c:f>'Strategic Deal Diagnostic'!$M$24</c:f>
              <c:numCache>
                <c:formatCode>0%</c:formatCode>
                <c:ptCount val="1"/>
                <c:pt idx="0">
                  <c:v>1</c:v>
                </c:pt>
              </c:numCache>
            </c:numRef>
          </c:val>
          <c:extLst>
            <c:ext xmlns:c16="http://schemas.microsoft.com/office/drawing/2014/chart" uri="{C3380CC4-5D6E-409C-BE32-E72D297353CC}">
              <c16:uniqueId val="{00000003-C0C4-4C9A-AEB6-DF3FCFD451E2}"/>
            </c:ext>
          </c:extLst>
        </c:ser>
        <c:ser>
          <c:idx val="3"/>
          <c:order val="2"/>
          <c:spPr>
            <a:solidFill>
              <a:srgbClr val="C00000">
                <a:alpha val="85000"/>
              </a:srgbClr>
            </a:solidFill>
            <a:ln w="9525" cap="flat" cmpd="sng" algn="ctr">
              <a:solidFill>
                <a:schemeClr val="lt1">
                  <a:alpha val="50000"/>
                </a:schemeClr>
              </a:solidFill>
              <a:round/>
            </a:ln>
            <a:effectLst/>
          </c:spPr>
          <c:invertIfNegative val="0"/>
          <c:val>
            <c:numRef>
              <c:f>'Strategic Deal Diagnostic'!$L$24</c:f>
              <c:numCache>
                <c:formatCode>0%</c:formatCode>
                <c:ptCount val="1"/>
                <c:pt idx="0">
                  <c:v>0</c:v>
                </c:pt>
              </c:numCache>
            </c:numRef>
          </c:val>
          <c:extLst>
            <c:ext xmlns:c16="http://schemas.microsoft.com/office/drawing/2014/chart" uri="{C3380CC4-5D6E-409C-BE32-E72D297353CC}">
              <c16:uniqueId val="{00000004-C0C4-4C9A-AEB6-DF3FCFD451E2}"/>
            </c:ext>
          </c:extLst>
        </c:ser>
        <c:dLbls>
          <c:showLegendKey val="0"/>
          <c:showVal val="0"/>
          <c:showCatName val="0"/>
          <c:showSerName val="0"/>
          <c:showPercent val="0"/>
          <c:showBubbleSize val="0"/>
        </c:dLbls>
        <c:gapWidth val="15"/>
        <c:overlap val="100"/>
        <c:axId val="188049664"/>
        <c:axId val="188051456"/>
        <c:extLst/>
      </c:barChart>
      <c:catAx>
        <c:axId val="188049664"/>
        <c:scaling>
          <c:orientation val="minMax"/>
        </c:scaling>
        <c:delete val="1"/>
        <c:axPos val="b"/>
        <c:majorTickMark val="none"/>
        <c:minorTickMark val="none"/>
        <c:tickLblPos val="nextTo"/>
        <c:crossAx val="188051456"/>
        <c:crosses val="autoZero"/>
        <c:auto val="1"/>
        <c:lblAlgn val="ctr"/>
        <c:lblOffset val="100"/>
        <c:noMultiLvlLbl val="0"/>
      </c:catAx>
      <c:valAx>
        <c:axId val="188051456"/>
        <c:scaling>
          <c:orientation val="minMax"/>
          <c:max val="1"/>
        </c:scaling>
        <c:delete val="1"/>
        <c:axPos val="l"/>
        <c:numFmt formatCode="0%" sourceLinked="1"/>
        <c:majorTickMark val="none"/>
        <c:minorTickMark val="none"/>
        <c:tickLblPos val="nextTo"/>
        <c:crossAx val="18804966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chemeClr val="tx1">
          <a:lumMod val="50000"/>
          <a:lumOff val="50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8000">
                <a:alpha val="85000"/>
              </a:srgbClr>
            </a:solidFill>
            <a:ln w="9525" cap="flat" cmpd="sng" algn="ctr">
              <a:solidFill>
                <a:schemeClr val="lt1">
                  <a:alpha val="50000"/>
                </a:schemeClr>
              </a:solidFill>
              <a:round/>
            </a:ln>
            <a:effectLst/>
          </c:spPr>
          <c:invertIfNegative val="0"/>
          <c:val>
            <c:numRef>
              <c:f>'Strategic Deal Diagnostic'!$K$29</c:f>
              <c:numCache>
                <c:formatCode>0%</c:formatCode>
                <c:ptCount val="1"/>
                <c:pt idx="0">
                  <c:v>0.33333333333333331</c:v>
                </c:pt>
              </c:numCache>
            </c:numRef>
          </c:val>
          <c:extLst>
            <c:ext xmlns:c16="http://schemas.microsoft.com/office/drawing/2014/chart" uri="{C3380CC4-5D6E-409C-BE32-E72D297353CC}">
              <c16:uniqueId val="{00000000-CBEF-4609-8943-9F20518E248D}"/>
            </c:ext>
          </c:extLst>
        </c:ser>
        <c:ser>
          <c:idx val="2"/>
          <c:order val="1"/>
          <c:spPr>
            <a:solidFill>
              <a:srgbClr val="FFC000">
                <a:alpha val="85000"/>
              </a:srgbClr>
            </a:solidFill>
            <a:ln w="9525" cap="flat" cmpd="sng" algn="ctr">
              <a:solidFill>
                <a:schemeClr val="lt1">
                  <a:alpha val="50000"/>
                </a:schemeClr>
              </a:solidFill>
              <a:round/>
            </a:ln>
            <a:effectLst/>
          </c:spPr>
          <c:invertIfNegative val="0"/>
          <c:val>
            <c:numRef>
              <c:f>'Strategic Deal Diagnostic'!$M$29</c:f>
              <c:numCache>
                <c:formatCode>0%</c:formatCode>
                <c:ptCount val="1"/>
                <c:pt idx="0">
                  <c:v>0.33333333333333331</c:v>
                </c:pt>
              </c:numCache>
            </c:numRef>
          </c:val>
          <c:extLst>
            <c:ext xmlns:c16="http://schemas.microsoft.com/office/drawing/2014/chart" uri="{C3380CC4-5D6E-409C-BE32-E72D297353CC}">
              <c16:uniqueId val="{00000001-CBEF-4609-8943-9F20518E248D}"/>
            </c:ext>
          </c:extLst>
        </c:ser>
        <c:ser>
          <c:idx val="3"/>
          <c:order val="2"/>
          <c:spPr>
            <a:solidFill>
              <a:srgbClr val="C00000">
                <a:alpha val="85000"/>
              </a:srgbClr>
            </a:solidFill>
            <a:ln w="9525" cap="flat" cmpd="sng" algn="ctr">
              <a:solidFill>
                <a:schemeClr val="lt1">
                  <a:alpha val="50000"/>
                </a:schemeClr>
              </a:solidFill>
              <a:round/>
            </a:ln>
            <a:effectLst/>
          </c:spPr>
          <c:invertIfNegative val="0"/>
          <c:val>
            <c:numRef>
              <c:f>'Strategic Deal Diagnostic'!$L$29</c:f>
              <c:numCache>
                <c:formatCode>0%</c:formatCode>
                <c:ptCount val="1"/>
                <c:pt idx="0">
                  <c:v>0.33333333333333331</c:v>
                </c:pt>
              </c:numCache>
            </c:numRef>
          </c:val>
          <c:extLst>
            <c:ext xmlns:c16="http://schemas.microsoft.com/office/drawing/2014/chart" uri="{C3380CC4-5D6E-409C-BE32-E72D297353CC}">
              <c16:uniqueId val="{00000002-CBEF-4609-8943-9F20518E248D}"/>
            </c:ext>
          </c:extLst>
        </c:ser>
        <c:dLbls>
          <c:showLegendKey val="0"/>
          <c:showVal val="0"/>
          <c:showCatName val="0"/>
          <c:showSerName val="0"/>
          <c:showPercent val="0"/>
          <c:showBubbleSize val="0"/>
        </c:dLbls>
        <c:gapWidth val="15"/>
        <c:overlap val="100"/>
        <c:axId val="188069760"/>
        <c:axId val="188071296"/>
        <c:extLst/>
      </c:barChart>
      <c:catAx>
        <c:axId val="188069760"/>
        <c:scaling>
          <c:orientation val="minMax"/>
        </c:scaling>
        <c:delete val="1"/>
        <c:axPos val="b"/>
        <c:majorTickMark val="none"/>
        <c:minorTickMark val="none"/>
        <c:tickLblPos val="nextTo"/>
        <c:crossAx val="188071296"/>
        <c:crosses val="autoZero"/>
        <c:auto val="1"/>
        <c:lblAlgn val="ctr"/>
        <c:lblOffset val="100"/>
        <c:noMultiLvlLbl val="0"/>
      </c:catAx>
      <c:valAx>
        <c:axId val="188071296"/>
        <c:scaling>
          <c:orientation val="minMax"/>
          <c:max val="1"/>
        </c:scaling>
        <c:delete val="1"/>
        <c:axPos val="l"/>
        <c:numFmt formatCode="0%" sourceLinked="1"/>
        <c:majorTickMark val="none"/>
        <c:minorTickMark val="none"/>
        <c:tickLblPos val="nextTo"/>
        <c:crossAx val="1880697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chemeClr val="tx1">
          <a:lumMod val="50000"/>
          <a:lumOff val="50000"/>
          <a:alpha val="40000"/>
        </a:schemeClr>
      </a:glo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8000"/>
            </a:solidFill>
            <a:ln w="9525" cap="flat" cmpd="sng" algn="ctr">
              <a:solidFill>
                <a:schemeClr val="lt1">
                  <a:alpha val="50000"/>
                </a:schemeClr>
              </a:solidFill>
              <a:round/>
            </a:ln>
            <a:effectLst/>
          </c:spPr>
          <c:invertIfNegative val="0"/>
          <c:val>
            <c:numRef>
              <c:f>'Strategic Deal Diagnostic'!$K$34</c:f>
              <c:numCache>
                <c:formatCode>0%</c:formatCode>
                <c:ptCount val="1"/>
                <c:pt idx="0">
                  <c:v>0</c:v>
                </c:pt>
              </c:numCache>
            </c:numRef>
          </c:val>
          <c:extLst>
            <c:ext xmlns:c16="http://schemas.microsoft.com/office/drawing/2014/chart" uri="{C3380CC4-5D6E-409C-BE32-E72D297353CC}">
              <c16:uniqueId val="{00000000-EB7B-4AFF-8166-8FA56D8F9B34}"/>
            </c:ext>
          </c:extLst>
        </c:ser>
        <c:ser>
          <c:idx val="2"/>
          <c:order val="1"/>
          <c:spPr>
            <a:solidFill>
              <a:srgbClr val="FFC000"/>
            </a:solidFill>
            <a:ln w="9525" cap="flat" cmpd="sng" algn="ctr">
              <a:solidFill>
                <a:schemeClr val="lt1">
                  <a:alpha val="50000"/>
                </a:schemeClr>
              </a:solidFill>
              <a:round/>
            </a:ln>
            <a:effectLst/>
          </c:spPr>
          <c:invertIfNegative val="0"/>
          <c:val>
            <c:numRef>
              <c:f>'Strategic Deal Diagnostic'!$M$34</c:f>
              <c:numCache>
                <c:formatCode>0%</c:formatCode>
                <c:ptCount val="1"/>
                <c:pt idx="0">
                  <c:v>0.66666666666666663</c:v>
                </c:pt>
              </c:numCache>
            </c:numRef>
          </c:val>
          <c:extLst>
            <c:ext xmlns:c16="http://schemas.microsoft.com/office/drawing/2014/chart" uri="{C3380CC4-5D6E-409C-BE32-E72D297353CC}">
              <c16:uniqueId val="{00000001-EB7B-4AFF-8166-8FA56D8F9B34}"/>
            </c:ext>
          </c:extLst>
        </c:ser>
        <c:ser>
          <c:idx val="3"/>
          <c:order val="2"/>
          <c:spPr>
            <a:solidFill>
              <a:srgbClr val="C00000">
                <a:alpha val="85000"/>
              </a:srgbClr>
            </a:solidFill>
            <a:ln w="9525" cap="flat" cmpd="sng" algn="ctr">
              <a:solidFill>
                <a:schemeClr val="lt1">
                  <a:alpha val="50000"/>
                </a:schemeClr>
              </a:solidFill>
              <a:round/>
            </a:ln>
            <a:effectLst/>
          </c:spPr>
          <c:invertIfNegative val="0"/>
          <c:val>
            <c:numRef>
              <c:f>'Strategic Deal Diagnostic'!$L$34</c:f>
              <c:numCache>
                <c:formatCode>0%</c:formatCode>
                <c:ptCount val="1"/>
                <c:pt idx="0">
                  <c:v>0.33333333333333331</c:v>
                </c:pt>
              </c:numCache>
            </c:numRef>
          </c:val>
          <c:extLst>
            <c:ext xmlns:c16="http://schemas.microsoft.com/office/drawing/2014/chart" uri="{C3380CC4-5D6E-409C-BE32-E72D297353CC}">
              <c16:uniqueId val="{00000002-EB7B-4AFF-8166-8FA56D8F9B34}"/>
            </c:ext>
          </c:extLst>
        </c:ser>
        <c:dLbls>
          <c:showLegendKey val="0"/>
          <c:showVal val="0"/>
          <c:showCatName val="0"/>
          <c:showSerName val="0"/>
          <c:showPercent val="0"/>
          <c:showBubbleSize val="0"/>
        </c:dLbls>
        <c:gapWidth val="15"/>
        <c:overlap val="100"/>
        <c:axId val="188181504"/>
        <c:axId val="188187392"/>
        <c:extLst/>
      </c:barChart>
      <c:catAx>
        <c:axId val="188181504"/>
        <c:scaling>
          <c:orientation val="minMax"/>
        </c:scaling>
        <c:delete val="1"/>
        <c:axPos val="b"/>
        <c:majorTickMark val="none"/>
        <c:minorTickMark val="none"/>
        <c:tickLblPos val="nextTo"/>
        <c:crossAx val="188187392"/>
        <c:crosses val="autoZero"/>
        <c:auto val="1"/>
        <c:lblAlgn val="ctr"/>
        <c:lblOffset val="100"/>
        <c:noMultiLvlLbl val="0"/>
      </c:catAx>
      <c:valAx>
        <c:axId val="188187392"/>
        <c:scaling>
          <c:orientation val="minMax"/>
          <c:max val="1"/>
        </c:scaling>
        <c:delete val="1"/>
        <c:axPos val="l"/>
        <c:numFmt formatCode="0%" sourceLinked="1"/>
        <c:majorTickMark val="none"/>
        <c:minorTickMark val="none"/>
        <c:tickLblPos val="nextTo"/>
        <c:crossAx val="18818150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01600">
        <a:schemeClr val="tx1">
          <a:lumMod val="50000"/>
          <a:lumOff val="50000"/>
          <a:alpha val="40000"/>
        </a:schemeClr>
      </a:glow>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35241</xdr:colOff>
      <xdr:row>15</xdr:row>
      <xdr:rowOff>15875</xdr:rowOff>
    </xdr:from>
    <xdr:to>
      <xdr:col>17</xdr:col>
      <xdr:colOff>695324</xdr:colOff>
      <xdr:row>35</xdr:row>
      <xdr:rowOff>794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28819</xdr:colOff>
      <xdr:row>15</xdr:row>
      <xdr:rowOff>7520</xdr:rowOff>
    </xdr:from>
    <xdr:to>
      <xdr:col>13</xdr:col>
      <xdr:colOff>32540</xdr:colOff>
      <xdr:row>19</xdr:row>
      <xdr:rowOff>53578</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23636</xdr:colOff>
      <xdr:row>20</xdr:row>
      <xdr:rowOff>23812</xdr:rowOff>
    </xdr:from>
    <xdr:to>
      <xdr:col>13</xdr:col>
      <xdr:colOff>30783</xdr:colOff>
      <xdr:row>25</xdr:row>
      <xdr:rowOff>68461</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22718</xdr:colOff>
      <xdr:row>25</xdr:row>
      <xdr:rowOff>86321</xdr:rowOff>
    </xdr:from>
    <xdr:to>
      <xdr:col>13</xdr:col>
      <xdr:colOff>33054</xdr:colOff>
      <xdr:row>30</xdr:row>
      <xdr:rowOff>53578</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23941</xdr:colOff>
      <xdr:row>30</xdr:row>
      <xdr:rowOff>71436</xdr:rowOff>
    </xdr:from>
    <xdr:to>
      <xdr:col>13</xdr:col>
      <xdr:colOff>33186</xdr:colOff>
      <xdr:row>34</xdr:row>
      <xdr:rowOff>182637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47625</xdr:colOff>
      <xdr:row>2</xdr:row>
      <xdr:rowOff>114301</xdr:rowOff>
    </xdr:from>
    <xdr:to>
      <xdr:col>4</xdr:col>
      <xdr:colOff>1838325</xdr:colOff>
      <xdr:row>2</xdr:row>
      <xdr:rowOff>685801</xdr:rowOff>
    </xdr:to>
    <xdr:pic>
      <xdr:nvPicPr>
        <xdr:cNvPr id="13" name="Picture 12">
          <a:extLst>
            <a:ext uri="{FF2B5EF4-FFF2-40B4-BE49-F238E27FC236}">
              <a16:creationId xmlns:a16="http://schemas.microsoft.com/office/drawing/2014/main" id="{A3445032-4B42-4664-9F11-1191296DE9EB}"/>
            </a:ext>
          </a:extLst>
        </xdr:cNvPr>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1241" t="43308" r="19118" b="43561"/>
        <a:stretch/>
      </xdr:blipFill>
      <xdr:spPr bwMode="auto">
        <a:xfrm>
          <a:off x="371475" y="342901"/>
          <a:ext cx="2028825" cy="571500"/>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rank/Documents/KM%20Deal%20Diagnostic%20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y Diagnostic"/>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opLeftCell="A25" workbookViewId="0">
      <selection activeCell="C36" sqref="C36"/>
    </sheetView>
  </sheetViews>
  <sheetFormatPr defaultRowHeight="15" x14ac:dyDescent="0.25"/>
  <cols>
    <col min="1" max="1" width="2.42578125" style="83" customWidth="1"/>
    <col min="2" max="2" width="3.5703125" customWidth="1"/>
    <col min="3" max="3" width="60.140625" customWidth="1"/>
  </cols>
  <sheetData>
    <row r="1" spans="1:9" s="61" customFormat="1" ht="16.5" x14ac:dyDescent="0.25">
      <c r="A1" s="101"/>
      <c r="B1" s="100" t="s">
        <v>63</v>
      </c>
      <c r="C1" s="100"/>
    </row>
    <row r="2" spans="1:9" s="85" customFormat="1" ht="16.5" x14ac:dyDescent="0.3">
      <c r="A2" s="92"/>
      <c r="B2" s="99">
        <v>1</v>
      </c>
      <c r="C2" s="90" t="s">
        <v>13</v>
      </c>
      <c r="D2" s="89"/>
      <c r="E2" s="89"/>
      <c r="F2" s="89"/>
      <c r="G2" s="89"/>
      <c r="H2" s="89"/>
      <c r="I2" s="89"/>
    </row>
    <row r="3" spans="1:9" s="85" customFormat="1" ht="16.5" x14ac:dyDescent="0.3">
      <c r="A3" s="92"/>
      <c r="B3" s="99"/>
      <c r="C3" s="103" t="s">
        <v>71</v>
      </c>
    </row>
    <row r="4" spans="1:9" s="85" customFormat="1" ht="16.5" x14ac:dyDescent="0.3">
      <c r="A4" s="92"/>
      <c r="B4" s="99"/>
      <c r="C4" s="96" t="s">
        <v>61</v>
      </c>
    </row>
    <row r="5" spans="1:9" s="85" customFormat="1" ht="16.5" x14ac:dyDescent="0.3">
      <c r="A5" s="92"/>
      <c r="B5" s="99"/>
      <c r="C5" s="102" t="s">
        <v>69</v>
      </c>
    </row>
    <row r="6" spans="1:9" s="85" customFormat="1" ht="16.5" x14ac:dyDescent="0.3">
      <c r="A6" s="92"/>
      <c r="B6" s="99">
        <v>2</v>
      </c>
      <c r="C6" s="110" t="s">
        <v>75</v>
      </c>
      <c r="D6" s="89"/>
      <c r="E6" s="89"/>
      <c r="F6" s="89"/>
      <c r="G6" s="89"/>
      <c r="H6" s="89"/>
      <c r="I6" s="89"/>
    </row>
    <row r="7" spans="1:9" s="85" customFormat="1" ht="16.5" x14ac:dyDescent="0.3">
      <c r="A7" s="92"/>
      <c r="B7" s="99"/>
      <c r="C7" s="96" t="s">
        <v>60</v>
      </c>
    </row>
    <row r="8" spans="1:9" s="85" customFormat="1" ht="16.5" x14ac:dyDescent="0.3">
      <c r="A8" s="92"/>
      <c r="B8" s="99"/>
      <c r="C8" s="97" t="s">
        <v>59</v>
      </c>
      <c r="F8" s="93"/>
    </row>
    <row r="9" spans="1:9" s="85" customFormat="1" ht="16.5" x14ac:dyDescent="0.3">
      <c r="A9" s="92"/>
      <c r="B9" s="99"/>
      <c r="C9" s="97" t="s">
        <v>58</v>
      </c>
    </row>
    <row r="10" spans="1:9" s="85" customFormat="1" ht="16.5" x14ac:dyDescent="0.3">
      <c r="A10" s="92"/>
      <c r="B10" s="99"/>
      <c r="C10" s="97" t="s">
        <v>57</v>
      </c>
    </row>
    <row r="11" spans="1:9" s="85" customFormat="1" ht="16.5" x14ac:dyDescent="0.3">
      <c r="A11" s="92"/>
      <c r="B11" s="99">
        <v>3</v>
      </c>
      <c r="C11" s="90" t="s">
        <v>56</v>
      </c>
      <c r="D11" s="89"/>
      <c r="E11" s="89"/>
      <c r="F11" s="89"/>
      <c r="G11" s="89"/>
      <c r="H11" s="89"/>
      <c r="I11" s="89"/>
    </row>
    <row r="12" spans="1:9" s="85" customFormat="1" ht="16.5" x14ac:dyDescent="0.3">
      <c r="A12" s="92"/>
      <c r="B12" s="99"/>
      <c r="C12" s="85" t="s">
        <v>72</v>
      </c>
    </row>
    <row r="13" spans="1:9" s="85" customFormat="1" ht="16.5" x14ac:dyDescent="0.3">
      <c r="A13" s="92"/>
      <c r="B13" s="99"/>
      <c r="C13" s="97" t="s">
        <v>55</v>
      </c>
    </row>
    <row r="14" spans="1:9" s="85" customFormat="1" ht="16.5" x14ac:dyDescent="0.3">
      <c r="A14" s="92"/>
      <c r="B14" s="99"/>
      <c r="C14" s="97" t="s">
        <v>54</v>
      </c>
    </row>
    <row r="15" spans="1:9" s="85" customFormat="1" ht="16.5" x14ac:dyDescent="0.25">
      <c r="A15" s="95"/>
      <c r="B15" s="94" t="s">
        <v>64</v>
      </c>
      <c r="C15" s="94"/>
    </row>
    <row r="16" spans="1:9" s="85" customFormat="1" ht="16.5" x14ac:dyDescent="0.3">
      <c r="A16" s="92"/>
      <c r="B16" s="91">
        <v>4</v>
      </c>
      <c r="C16" s="89" t="s">
        <v>76</v>
      </c>
      <c r="D16" s="89"/>
      <c r="E16" s="89"/>
      <c r="F16" s="89"/>
      <c r="G16" s="89"/>
      <c r="H16" s="89"/>
      <c r="I16" s="89"/>
    </row>
    <row r="17" spans="1:9" s="85" customFormat="1" ht="16.5" x14ac:dyDescent="0.3">
      <c r="A17" s="92"/>
      <c r="B17" s="91"/>
      <c r="C17" s="85" t="s">
        <v>49</v>
      </c>
      <c r="G17" s="86"/>
      <c r="H17" s="86"/>
      <c r="I17" s="86"/>
    </row>
    <row r="18" spans="1:9" s="85" customFormat="1" ht="16.5" x14ac:dyDescent="0.3">
      <c r="A18" s="92"/>
      <c r="B18" s="91"/>
      <c r="C18" s="86" t="s">
        <v>53</v>
      </c>
      <c r="D18" s="86"/>
      <c r="E18" s="86"/>
      <c r="F18" s="86"/>
      <c r="G18" s="86"/>
      <c r="H18" s="86"/>
      <c r="I18" s="86"/>
    </row>
    <row r="19" spans="1:9" s="85" customFormat="1" ht="16.5" x14ac:dyDescent="0.3">
      <c r="A19" s="92"/>
      <c r="B19" s="91"/>
      <c r="C19" s="85" t="s">
        <v>67</v>
      </c>
    </row>
    <row r="20" spans="1:9" s="85" customFormat="1" ht="16.5" x14ac:dyDescent="0.3">
      <c r="A20" s="92"/>
      <c r="B20" s="91"/>
      <c r="C20" s="85" t="s">
        <v>52</v>
      </c>
    </row>
    <row r="21" spans="1:9" s="85" customFormat="1" ht="16.5" x14ac:dyDescent="0.3">
      <c r="A21" s="92"/>
      <c r="B21" s="91"/>
      <c r="C21" s="85" t="s">
        <v>51</v>
      </c>
    </row>
    <row r="22" spans="1:9" s="85" customFormat="1" ht="16.5" x14ac:dyDescent="0.3">
      <c r="A22" s="92"/>
      <c r="B22" s="91"/>
      <c r="C22" s="85" t="s">
        <v>50</v>
      </c>
    </row>
    <row r="23" spans="1:9" s="85" customFormat="1" ht="16.5" x14ac:dyDescent="0.3">
      <c r="A23" s="92"/>
      <c r="B23" s="91">
        <v>5</v>
      </c>
      <c r="C23" s="90" t="s">
        <v>19</v>
      </c>
      <c r="D23" s="89"/>
      <c r="E23" s="89"/>
      <c r="F23" s="89"/>
      <c r="G23" s="89"/>
      <c r="H23" s="89"/>
      <c r="I23" s="89"/>
    </row>
    <row r="24" spans="1:9" s="85" customFormat="1" ht="16.5" x14ac:dyDescent="0.3">
      <c r="A24" s="92"/>
      <c r="B24" s="91"/>
      <c r="C24" s="85" t="s">
        <v>74</v>
      </c>
    </row>
    <row r="25" spans="1:9" s="85" customFormat="1" ht="16.5" x14ac:dyDescent="0.3">
      <c r="A25" s="92"/>
      <c r="B25" s="91"/>
      <c r="C25" s="85" t="s">
        <v>68</v>
      </c>
    </row>
    <row r="26" spans="1:9" s="85" customFormat="1" ht="16.5" x14ac:dyDescent="0.3">
      <c r="A26" s="92"/>
      <c r="B26" s="91">
        <v>6</v>
      </c>
      <c r="C26" s="89" t="s">
        <v>78</v>
      </c>
      <c r="D26" s="89"/>
      <c r="E26" s="89"/>
      <c r="F26" s="89"/>
      <c r="G26" s="89"/>
      <c r="H26" s="89"/>
      <c r="I26" s="89"/>
    </row>
    <row r="27" spans="1:9" s="85" customFormat="1" ht="16.5" x14ac:dyDescent="0.3">
      <c r="A27" s="92"/>
      <c r="B27" s="91"/>
      <c r="C27" s="85" t="s">
        <v>47</v>
      </c>
    </row>
    <row r="28" spans="1:9" s="85" customFormat="1" ht="16.5" x14ac:dyDescent="0.3">
      <c r="A28" s="92"/>
      <c r="B28" s="91"/>
      <c r="C28" s="93" t="s">
        <v>46</v>
      </c>
    </row>
    <row r="29" spans="1:9" s="85" customFormat="1" ht="16.5" x14ac:dyDescent="0.3">
      <c r="A29" s="92"/>
      <c r="B29" s="91"/>
      <c r="C29" s="85" t="s">
        <v>45</v>
      </c>
    </row>
    <row r="30" spans="1:9" s="85" customFormat="1" ht="16.5" x14ac:dyDescent="0.3">
      <c r="A30" s="92"/>
      <c r="B30" s="91"/>
      <c r="C30" s="85" t="s">
        <v>44</v>
      </c>
    </row>
    <row r="31" spans="1:9" s="85" customFormat="1" ht="16.5" x14ac:dyDescent="0.3">
      <c r="A31" s="95"/>
      <c r="B31" s="98" t="s">
        <v>65</v>
      </c>
      <c r="C31" s="98"/>
    </row>
    <row r="32" spans="1:9" s="85" customFormat="1" ht="16.5" x14ac:dyDescent="0.3">
      <c r="A32" s="92"/>
      <c r="B32" s="91">
        <v>7</v>
      </c>
      <c r="C32" s="90" t="s">
        <v>43</v>
      </c>
      <c r="D32" s="89"/>
      <c r="E32" s="89"/>
      <c r="F32" s="89"/>
      <c r="G32" s="89"/>
      <c r="H32" s="89"/>
      <c r="I32" s="89"/>
    </row>
    <row r="33" spans="1:9" s="85" customFormat="1" ht="16.5" x14ac:dyDescent="0.3">
      <c r="A33" s="92"/>
      <c r="B33" s="91"/>
      <c r="C33" s="97" t="s">
        <v>42</v>
      </c>
    </row>
    <row r="34" spans="1:9" s="85" customFormat="1" ht="16.5" x14ac:dyDescent="0.3">
      <c r="A34" s="92"/>
      <c r="B34" s="91"/>
      <c r="C34" s="96" t="s">
        <v>41</v>
      </c>
    </row>
    <row r="35" spans="1:9" s="85" customFormat="1" ht="16.5" x14ac:dyDescent="0.3">
      <c r="A35" s="92"/>
      <c r="B35" s="91"/>
      <c r="C35" s="108" t="s">
        <v>77</v>
      </c>
    </row>
    <row r="36" spans="1:9" s="85" customFormat="1" ht="16.5" x14ac:dyDescent="0.3">
      <c r="A36" s="92"/>
      <c r="B36" s="91"/>
      <c r="C36" s="85" t="s">
        <v>48</v>
      </c>
    </row>
    <row r="37" spans="1:9" s="85" customFormat="1" ht="16.5" x14ac:dyDescent="0.3">
      <c r="A37" s="92"/>
      <c r="B37" s="91">
        <v>8</v>
      </c>
      <c r="C37" s="90" t="s">
        <v>40</v>
      </c>
      <c r="D37" s="89"/>
      <c r="E37" s="89"/>
      <c r="F37" s="89"/>
      <c r="G37" s="89"/>
      <c r="H37" s="89"/>
      <c r="I37" s="89"/>
    </row>
    <row r="38" spans="1:9" s="85" customFormat="1" ht="16.5" x14ac:dyDescent="0.3">
      <c r="A38" s="92"/>
      <c r="B38" s="91"/>
      <c r="C38" s="97" t="s">
        <v>39</v>
      </c>
    </row>
    <row r="39" spans="1:9" s="85" customFormat="1" ht="16.5" x14ac:dyDescent="0.3">
      <c r="A39" s="92"/>
      <c r="B39" s="91"/>
      <c r="C39" s="97" t="s">
        <v>38</v>
      </c>
    </row>
    <row r="40" spans="1:9" s="85" customFormat="1" ht="16.5" x14ac:dyDescent="0.3">
      <c r="A40" s="92"/>
      <c r="B40" s="91"/>
      <c r="C40" s="97" t="s">
        <v>37</v>
      </c>
    </row>
    <row r="41" spans="1:9" s="85" customFormat="1" ht="16.5" x14ac:dyDescent="0.3">
      <c r="A41" s="92"/>
      <c r="B41" s="91">
        <v>9</v>
      </c>
      <c r="C41" s="90" t="s">
        <v>15</v>
      </c>
      <c r="D41" s="89"/>
      <c r="E41" s="89"/>
      <c r="F41" s="89"/>
      <c r="G41" s="89"/>
      <c r="H41" s="89"/>
      <c r="I41" s="89"/>
    </row>
    <row r="42" spans="1:9" s="85" customFormat="1" ht="16.5" x14ac:dyDescent="0.3">
      <c r="A42" s="92"/>
      <c r="B42" s="91"/>
      <c r="C42" s="96" t="s">
        <v>36</v>
      </c>
    </row>
    <row r="43" spans="1:9" s="85" customFormat="1" ht="16.5" x14ac:dyDescent="0.25">
      <c r="A43" s="95"/>
      <c r="B43" s="94" t="s">
        <v>66</v>
      </c>
      <c r="C43" s="94"/>
    </row>
    <row r="44" spans="1:9" s="85" customFormat="1" ht="16.5" x14ac:dyDescent="0.3">
      <c r="A44" s="92"/>
      <c r="B44" s="91">
        <v>10</v>
      </c>
      <c r="C44" s="89" t="s">
        <v>35</v>
      </c>
      <c r="D44" s="89"/>
      <c r="E44" s="89"/>
      <c r="F44" s="89"/>
      <c r="G44" s="89"/>
      <c r="H44" s="89"/>
      <c r="I44" s="89"/>
    </row>
    <row r="45" spans="1:9" s="85" customFormat="1" ht="16.5" x14ac:dyDescent="0.3">
      <c r="A45" s="92"/>
      <c r="B45" s="91"/>
      <c r="C45" s="86" t="s">
        <v>34</v>
      </c>
    </row>
    <row r="46" spans="1:9" s="85" customFormat="1" ht="16.5" x14ac:dyDescent="0.3">
      <c r="A46" s="92"/>
      <c r="B46" s="91"/>
      <c r="C46" s="86" t="s">
        <v>33</v>
      </c>
    </row>
    <row r="47" spans="1:9" s="85" customFormat="1" ht="16.5" x14ac:dyDescent="0.3">
      <c r="A47" s="92"/>
      <c r="B47" s="91"/>
      <c r="C47" s="86" t="s">
        <v>32</v>
      </c>
    </row>
    <row r="48" spans="1:9" s="85" customFormat="1" ht="16.5" x14ac:dyDescent="0.3">
      <c r="A48" s="92"/>
      <c r="B48" s="91"/>
      <c r="C48" s="86" t="s">
        <v>79</v>
      </c>
    </row>
    <row r="49" spans="1:9" s="85" customFormat="1" ht="16.5" x14ac:dyDescent="0.3">
      <c r="A49" s="92"/>
      <c r="B49" s="91"/>
      <c r="C49" s="86" t="s">
        <v>31</v>
      </c>
    </row>
    <row r="50" spans="1:9" s="85" customFormat="1" ht="16.5" x14ac:dyDescent="0.3">
      <c r="A50" s="92"/>
      <c r="B50" s="91">
        <v>11</v>
      </c>
      <c r="C50" s="90" t="s">
        <v>14</v>
      </c>
      <c r="D50" s="89"/>
      <c r="E50" s="89"/>
      <c r="F50" s="89"/>
      <c r="G50" s="89"/>
      <c r="H50" s="89"/>
      <c r="I50" s="89"/>
    </row>
    <row r="51" spans="1:9" s="85" customFormat="1" ht="16.5" x14ac:dyDescent="0.3">
      <c r="A51" s="92"/>
      <c r="B51" s="91"/>
      <c r="C51" s="93" t="s">
        <v>30</v>
      </c>
    </row>
    <row r="52" spans="1:9" s="85" customFormat="1" ht="16.5" x14ac:dyDescent="0.3">
      <c r="A52" s="92"/>
      <c r="B52" s="91"/>
      <c r="C52" s="86" t="s">
        <v>29</v>
      </c>
    </row>
    <row r="53" spans="1:9" s="85" customFormat="1" ht="16.5" x14ac:dyDescent="0.3">
      <c r="A53" s="92"/>
      <c r="B53" s="91"/>
      <c r="C53" s="86" t="s">
        <v>28</v>
      </c>
    </row>
    <row r="54" spans="1:9" s="85" customFormat="1" ht="16.5" x14ac:dyDescent="0.3">
      <c r="A54" s="92"/>
      <c r="B54" s="91">
        <v>12</v>
      </c>
      <c r="C54" s="90" t="s">
        <v>24</v>
      </c>
      <c r="D54" s="89"/>
      <c r="E54" s="89"/>
      <c r="F54" s="89"/>
      <c r="G54" s="89"/>
      <c r="H54" s="89"/>
      <c r="I54" s="89"/>
    </row>
    <row r="55" spans="1:9" s="85" customFormat="1" x14ac:dyDescent="0.25">
      <c r="A55" s="86"/>
      <c r="B55" s="88"/>
      <c r="C55" s="86" t="s">
        <v>27</v>
      </c>
    </row>
    <row r="56" spans="1:9" s="85" customFormat="1" x14ac:dyDescent="0.25">
      <c r="A56" s="86"/>
      <c r="B56" s="88"/>
      <c r="C56" s="86" t="s">
        <v>26</v>
      </c>
    </row>
    <row r="57" spans="1:9" s="85" customFormat="1" x14ac:dyDescent="0.25">
      <c r="A57" s="86"/>
      <c r="B57" s="88"/>
      <c r="C57" s="86" t="s">
        <v>25</v>
      </c>
    </row>
    <row r="58" spans="1:9" s="85" customFormat="1" x14ac:dyDescent="0.25">
      <c r="A58" s="87"/>
    </row>
    <row r="59" spans="1:9" s="85" customFormat="1" x14ac:dyDescent="0.25">
      <c r="A59" s="86"/>
    </row>
    <row r="60" spans="1:9" s="85" customFormat="1" x14ac:dyDescent="0.25">
      <c r="A60" s="86"/>
    </row>
    <row r="61" spans="1:9" s="85" customFormat="1" x14ac:dyDescent="0.25">
      <c r="A61" s="86"/>
    </row>
    <row r="62" spans="1:9" s="85" customFormat="1" x14ac:dyDescent="0.25">
      <c r="A62" s="86"/>
    </row>
    <row r="63" spans="1:9" s="85" customFormat="1" x14ac:dyDescent="0.25">
      <c r="A63" s="86"/>
    </row>
    <row r="64" spans="1:9" x14ac:dyDescent="0.25">
      <c r="A64" s="84"/>
      <c r="B64" s="8"/>
      <c r="C64" s="8"/>
      <c r="D64" s="8"/>
      <c r="E64" s="8"/>
      <c r="F64" s="8"/>
      <c r="G64" s="8"/>
      <c r="H64" s="8"/>
      <c r="I64" s="8"/>
    </row>
    <row r="65" spans="1:9" x14ac:dyDescent="0.25">
      <c r="A65" s="84"/>
      <c r="B65" s="8"/>
      <c r="C65" s="8"/>
      <c r="D65" s="8"/>
      <c r="E65" s="8"/>
      <c r="F65" s="8"/>
      <c r="G65" s="8"/>
      <c r="H65" s="8"/>
      <c r="I65" s="8"/>
    </row>
    <row r="66" spans="1:9" x14ac:dyDescent="0.25">
      <c r="A66" s="84"/>
      <c r="B66" s="8"/>
      <c r="C66" s="8"/>
      <c r="D66" s="8"/>
      <c r="E66" s="8"/>
      <c r="F66" s="8"/>
      <c r="G66" s="8"/>
      <c r="H66" s="8"/>
      <c r="I66" s="8"/>
    </row>
    <row r="67" spans="1:9" x14ac:dyDescent="0.25">
      <c r="A67" s="84"/>
      <c r="B67" s="8"/>
      <c r="C67" s="8"/>
      <c r="D67" s="8"/>
      <c r="E67" s="8"/>
      <c r="F67" s="8"/>
      <c r="G67" s="8"/>
      <c r="H67" s="8"/>
      <c r="I67" s="8"/>
    </row>
    <row r="68" spans="1:9" x14ac:dyDescent="0.25">
      <c r="A68" s="84"/>
      <c r="B68" s="8"/>
      <c r="C68" s="8"/>
      <c r="D68" s="8"/>
      <c r="E68" s="8"/>
      <c r="F68" s="8"/>
      <c r="G68" s="8"/>
      <c r="H68" s="8"/>
      <c r="I68" s="8"/>
    </row>
    <row r="69" spans="1:9" x14ac:dyDescent="0.25">
      <c r="A69" s="84"/>
      <c r="B69" s="8"/>
      <c r="C69" s="8"/>
      <c r="D69" s="8"/>
      <c r="E69" s="8"/>
      <c r="F69" s="8"/>
      <c r="G69" s="8"/>
      <c r="H69" s="8"/>
      <c r="I69" s="8"/>
    </row>
    <row r="70" spans="1:9" x14ac:dyDescent="0.25">
      <c r="A70" s="84"/>
      <c r="B70" s="8"/>
      <c r="C70" s="8"/>
      <c r="D70" s="8"/>
      <c r="E70" s="8"/>
      <c r="F70" s="8"/>
      <c r="G70" s="8"/>
      <c r="H70" s="8"/>
      <c r="I70" s="8"/>
    </row>
    <row r="71" spans="1:9" x14ac:dyDescent="0.25">
      <c r="A71" s="84"/>
      <c r="B71" s="8"/>
      <c r="C71" s="8"/>
      <c r="D71" s="8"/>
      <c r="E71" s="8"/>
      <c r="F71" s="8"/>
      <c r="G71" s="8"/>
      <c r="H71" s="8"/>
      <c r="I71" s="8"/>
    </row>
    <row r="72" spans="1:9" x14ac:dyDescent="0.25">
      <c r="A72" s="84"/>
    </row>
    <row r="73" spans="1:9" x14ac:dyDescent="0.25">
      <c r="A73" s="84"/>
    </row>
    <row r="74" spans="1:9" x14ac:dyDescent="0.25">
      <c r="A74" s="84"/>
    </row>
    <row r="75" spans="1:9" x14ac:dyDescent="0.25">
      <c r="A75" s="84"/>
    </row>
    <row r="76" spans="1:9" x14ac:dyDescent="0.25">
      <c r="A76" s="84"/>
    </row>
    <row r="77" spans="1:9" x14ac:dyDescent="0.25">
      <c r="A77" s="84"/>
    </row>
  </sheetData>
  <pageMargins left="0.7" right="0.7" top="0.75" bottom="0.75" header="0.3" footer="0.3"/>
  <pageSetup orientation="landscape" horizontalDpi="4294967294"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B1:R36"/>
  <sheetViews>
    <sheetView showGridLines="0" tabSelected="1" zoomScale="80" zoomScaleNormal="80" workbookViewId="0">
      <selection activeCell="G6" sqref="G6"/>
    </sheetView>
  </sheetViews>
  <sheetFormatPr defaultRowHeight="16.5" x14ac:dyDescent="0.3"/>
  <cols>
    <col min="1" max="1" width="1.85546875" customWidth="1"/>
    <col min="2" max="2" width="4.140625" style="1" customWidth="1"/>
    <col min="3" max="3" width="2.42578125" style="1" customWidth="1"/>
    <col min="4" max="4" width="3.5703125" style="2" customWidth="1"/>
    <col min="5" max="5" width="60.140625" style="1" customWidth="1"/>
    <col min="6" max="6" width="22.7109375" style="1" customWidth="1"/>
    <col min="7" max="7" width="36.7109375" style="1" customWidth="1"/>
    <col min="8" max="8" width="2" customWidth="1"/>
    <col min="9" max="9" width="2.140625" style="3" customWidth="1"/>
    <col min="10" max="10" width="1.42578125" style="4" customWidth="1"/>
    <col min="11" max="11" width="4.5703125" style="4" customWidth="1"/>
    <col min="12" max="12" width="3.85546875" style="4" customWidth="1"/>
    <col min="13" max="13" width="8.28515625" style="4" customWidth="1"/>
    <col min="14" max="14" width="9.7109375" style="111" customWidth="1"/>
    <col min="15" max="15" width="1.42578125" style="3" customWidth="1"/>
    <col min="17" max="17" width="1.7109375" customWidth="1"/>
    <col min="18" max="18" width="13.7109375" customWidth="1"/>
  </cols>
  <sheetData>
    <row r="1" spans="2:18" ht="9" customHeight="1" x14ac:dyDescent="0.3"/>
    <row r="2" spans="2:18" ht="9.6" customHeight="1" x14ac:dyDescent="0.3">
      <c r="B2" s="42"/>
      <c r="C2" s="43"/>
      <c r="D2" s="44"/>
      <c r="E2" s="43"/>
      <c r="F2" s="43"/>
      <c r="G2" s="43"/>
      <c r="H2" s="45"/>
      <c r="I2" s="46"/>
      <c r="J2" s="47"/>
      <c r="K2" s="47"/>
      <c r="L2" s="47"/>
      <c r="M2" s="47"/>
      <c r="N2" s="112"/>
      <c r="O2" s="46"/>
      <c r="P2" s="45"/>
      <c r="Q2" s="45"/>
      <c r="R2" s="48"/>
    </row>
    <row r="3" spans="2:18" ht="60" customHeight="1" x14ac:dyDescent="0.3">
      <c r="B3" s="49"/>
      <c r="C3" s="5"/>
      <c r="D3" s="8"/>
      <c r="E3" s="152" t="s">
        <v>0</v>
      </c>
      <c r="F3" s="152"/>
      <c r="G3" s="152"/>
      <c r="H3" s="152"/>
      <c r="I3" s="152"/>
      <c r="J3" s="152"/>
      <c r="K3" s="152"/>
      <c r="L3" s="152"/>
      <c r="M3" s="152"/>
      <c r="N3" s="152"/>
      <c r="O3" s="152"/>
      <c r="P3" s="152"/>
      <c r="Q3" s="5"/>
      <c r="R3" s="50"/>
    </row>
    <row r="4" spans="2:18" x14ac:dyDescent="0.3">
      <c r="B4" s="49"/>
      <c r="C4" s="6"/>
      <c r="D4" s="7"/>
      <c r="E4" s="40"/>
      <c r="F4" s="153"/>
      <c r="G4" s="154"/>
      <c r="H4" s="8"/>
      <c r="I4" s="9"/>
      <c r="J4" s="10"/>
      <c r="K4" s="10"/>
      <c r="L4" s="10"/>
      <c r="M4" s="10"/>
      <c r="N4" s="113"/>
      <c r="O4" s="9"/>
      <c r="P4" s="8"/>
      <c r="Q4" s="8"/>
      <c r="R4" s="51"/>
    </row>
    <row r="5" spans="2:18" x14ac:dyDescent="0.3">
      <c r="B5" s="49"/>
      <c r="C5" s="6"/>
      <c r="D5" s="7"/>
      <c r="E5" s="40" t="s">
        <v>88</v>
      </c>
      <c r="F5" s="131" t="s">
        <v>90</v>
      </c>
      <c r="G5" s="122"/>
      <c r="H5" s="109"/>
      <c r="I5" s="123"/>
      <c r="J5" s="124"/>
      <c r="K5" s="124"/>
      <c r="L5" s="124"/>
      <c r="M5" s="142"/>
      <c r="N5" s="125"/>
      <c r="O5" s="9"/>
      <c r="P5" s="8" t="s">
        <v>80</v>
      </c>
      <c r="Q5" s="8"/>
      <c r="R5" s="51"/>
    </row>
    <row r="6" spans="2:18" x14ac:dyDescent="0.3">
      <c r="B6" s="49"/>
      <c r="C6" s="6"/>
      <c r="D6" s="7"/>
      <c r="E6" s="40" t="s">
        <v>89</v>
      </c>
      <c r="F6" s="129">
        <v>43101</v>
      </c>
      <c r="G6" s="122"/>
      <c r="H6" s="109"/>
      <c r="I6" s="123"/>
      <c r="J6" s="124"/>
      <c r="K6" s="124"/>
      <c r="L6" s="124"/>
      <c r="M6" s="142"/>
      <c r="N6" s="125"/>
      <c r="O6" s="9"/>
      <c r="P6" s="8"/>
      <c r="Q6" s="8"/>
      <c r="R6" s="51"/>
    </row>
    <row r="7" spans="2:18" x14ac:dyDescent="0.3">
      <c r="B7" s="49"/>
      <c r="C7" s="6"/>
      <c r="D7" s="7"/>
      <c r="E7" s="40" t="s">
        <v>93</v>
      </c>
      <c r="F7" s="147"/>
      <c r="G7" s="122"/>
      <c r="H7" s="109"/>
      <c r="I7" s="123"/>
      <c r="J7" s="124"/>
      <c r="K7" s="124"/>
      <c r="L7" s="124"/>
      <c r="M7" s="146"/>
      <c r="N7" s="125"/>
      <c r="O7" s="9"/>
      <c r="P7" s="8"/>
      <c r="Q7" s="8"/>
      <c r="R7" s="51"/>
    </row>
    <row r="8" spans="2:18" x14ac:dyDescent="0.3">
      <c r="B8" s="49"/>
      <c r="C8" s="6"/>
      <c r="D8" s="7"/>
      <c r="E8" s="40" t="s">
        <v>94</v>
      </c>
      <c r="F8" s="147"/>
      <c r="G8" s="148"/>
      <c r="H8" s="135"/>
      <c r="I8" s="136"/>
      <c r="J8" s="137"/>
      <c r="K8" s="137"/>
      <c r="L8" s="137"/>
      <c r="M8" s="146"/>
      <c r="N8" s="125"/>
      <c r="O8" s="9"/>
      <c r="P8" s="8"/>
      <c r="Q8" s="8"/>
      <c r="R8" s="51"/>
    </row>
    <row r="9" spans="2:18" x14ac:dyDescent="0.3">
      <c r="B9" s="49"/>
      <c r="C9" s="6"/>
      <c r="D9" s="7"/>
      <c r="E9" s="40" t="s">
        <v>83</v>
      </c>
      <c r="F9" s="144">
        <v>8798789</v>
      </c>
      <c r="G9" s="107"/>
      <c r="H9" s="104"/>
      <c r="I9" s="105"/>
      <c r="J9" s="106"/>
      <c r="K9" s="106"/>
      <c r="L9" s="106"/>
      <c r="M9" s="146"/>
      <c r="N9" s="125"/>
      <c r="O9" s="9"/>
      <c r="P9" s="8"/>
      <c r="Q9" s="8"/>
      <c r="R9" s="51"/>
    </row>
    <row r="10" spans="2:18" x14ac:dyDescent="0.3">
      <c r="B10" s="49"/>
      <c r="C10" s="6"/>
      <c r="D10" s="7"/>
      <c r="E10" s="40" t="s">
        <v>81</v>
      </c>
      <c r="F10" s="128"/>
      <c r="G10" s="118"/>
      <c r="H10" s="119"/>
      <c r="I10" s="120"/>
      <c r="J10" s="121"/>
      <c r="K10" s="121"/>
      <c r="L10" s="121"/>
      <c r="M10" s="121"/>
      <c r="N10" s="125"/>
      <c r="O10" s="9"/>
      <c r="P10" s="8"/>
      <c r="Q10" s="8"/>
      <c r="R10" s="51"/>
    </row>
    <row r="11" spans="2:18" ht="15.75" customHeight="1" x14ac:dyDescent="0.3">
      <c r="B11" s="49"/>
      <c r="C11" s="6"/>
      <c r="D11" s="7"/>
      <c r="E11" s="40" t="s">
        <v>82</v>
      </c>
      <c r="F11" s="130" t="s">
        <v>87</v>
      </c>
      <c r="G11" s="127" t="s">
        <v>84</v>
      </c>
      <c r="H11" s="149">
        <v>352</v>
      </c>
      <c r="I11" s="150"/>
      <c r="J11" s="150"/>
      <c r="K11" s="150"/>
      <c r="L11" s="150"/>
      <c r="M11" s="151"/>
      <c r="N11" s="126"/>
      <c r="O11" s="9"/>
      <c r="P11" s="8"/>
      <c r="Q11" s="8"/>
      <c r="R11" s="51"/>
    </row>
    <row r="12" spans="2:18" ht="15.75" customHeight="1" x14ac:dyDescent="0.3">
      <c r="B12" s="49"/>
      <c r="C12" s="6"/>
      <c r="D12" s="7"/>
      <c r="E12" s="40" t="s">
        <v>18</v>
      </c>
      <c r="F12" s="129" t="s">
        <v>85</v>
      </c>
      <c r="G12" s="132"/>
      <c r="H12" s="140"/>
      <c r="I12" s="140"/>
      <c r="J12" s="140"/>
      <c r="K12" s="140"/>
      <c r="L12" s="140"/>
      <c r="M12" s="139"/>
      <c r="N12" s="126"/>
      <c r="O12" s="9"/>
      <c r="P12" s="8"/>
      <c r="Q12" s="8"/>
      <c r="R12" s="51"/>
    </row>
    <row r="13" spans="2:18" ht="16.5" customHeight="1" x14ac:dyDescent="0.3">
      <c r="B13" s="49"/>
      <c r="C13" s="6"/>
      <c r="D13" s="7"/>
      <c r="E13" s="40" t="s">
        <v>86</v>
      </c>
      <c r="F13" s="143" t="s">
        <v>91</v>
      </c>
      <c r="G13" s="133"/>
      <c r="H13" s="138"/>
      <c r="I13" s="138"/>
      <c r="J13" s="138"/>
      <c r="K13" s="138"/>
      <c r="L13" s="138"/>
      <c r="M13" s="141"/>
      <c r="N13" s="125"/>
      <c r="O13" s="9"/>
      <c r="P13" s="8"/>
      <c r="Q13" s="8"/>
      <c r="R13" s="51"/>
    </row>
    <row r="14" spans="2:18" x14ac:dyDescent="0.3">
      <c r="B14" s="49"/>
      <c r="C14" s="6"/>
      <c r="D14" s="7"/>
      <c r="E14" s="40" t="s">
        <v>73</v>
      </c>
      <c r="F14" s="145">
        <v>43132</v>
      </c>
      <c r="G14" s="134"/>
      <c r="H14" s="135"/>
      <c r="I14" s="136"/>
      <c r="J14" s="137"/>
      <c r="K14" s="137"/>
      <c r="L14" s="137"/>
      <c r="M14" s="142"/>
      <c r="N14" s="125"/>
      <c r="O14" s="9"/>
      <c r="P14" s="8"/>
      <c r="Q14" s="8"/>
      <c r="R14" s="51"/>
    </row>
    <row r="15" spans="2:18" x14ac:dyDescent="0.3">
      <c r="B15" s="49"/>
      <c r="C15" s="6"/>
      <c r="D15" s="7"/>
      <c r="E15" s="6"/>
      <c r="F15" s="6"/>
      <c r="G15" s="6"/>
      <c r="H15" s="8"/>
      <c r="I15" s="9"/>
      <c r="J15" s="10"/>
      <c r="K15" s="10"/>
      <c r="L15" s="10"/>
      <c r="M15" s="10"/>
      <c r="N15" s="113"/>
      <c r="O15" s="9"/>
      <c r="P15" s="11"/>
      <c r="Q15" s="8"/>
      <c r="R15" s="51"/>
    </row>
    <row r="16" spans="2:18" s="17" customFormat="1" ht="21.4" customHeight="1" thickBot="1" x14ac:dyDescent="0.3">
      <c r="B16" s="52"/>
      <c r="C16" s="68"/>
      <c r="D16" s="69" t="s">
        <v>20</v>
      </c>
      <c r="E16" s="69"/>
      <c r="F16" s="69"/>
      <c r="G16" s="70" t="s">
        <v>1</v>
      </c>
      <c r="H16" s="71"/>
      <c r="I16" s="12"/>
      <c r="J16" s="13"/>
      <c r="K16" s="53"/>
      <c r="L16" s="53"/>
      <c r="M16" s="53"/>
      <c r="N16" s="114"/>
      <c r="O16" s="14"/>
      <c r="P16" s="15"/>
      <c r="Q16" s="16"/>
      <c r="R16" s="54"/>
    </row>
    <row r="17" spans="2:18" ht="15.75" customHeight="1" thickBot="1" x14ac:dyDescent="0.35">
      <c r="B17" s="55"/>
      <c r="C17" s="72"/>
      <c r="D17" s="36">
        <v>1</v>
      </c>
      <c r="E17" s="41" t="s">
        <v>13</v>
      </c>
      <c r="F17" s="37" t="s">
        <v>2</v>
      </c>
      <c r="G17" s="67"/>
      <c r="H17" s="75"/>
      <c r="I17" s="9"/>
      <c r="J17" s="18"/>
      <c r="K17" s="21" t="s">
        <v>3</v>
      </c>
      <c r="L17" s="22" t="s">
        <v>4</v>
      </c>
      <c r="M17" s="22" t="s">
        <v>5</v>
      </c>
      <c r="N17" s="115"/>
      <c r="O17" s="19"/>
      <c r="P17" s="20"/>
      <c r="Q17" s="8"/>
      <c r="R17" s="51"/>
    </row>
    <row r="18" spans="2:18" ht="17.25" customHeight="1" thickBot="1" x14ac:dyDescent="0.35">
      <c r="B18" s="55"/>
      <c r="C18" s="72"/>
      <c r="D18" s="36">
        <v>2</v>
      </c>
      <c r="E18" s="41" t="s">
        <v>75</v>
      </c>
      <c r="F18" s="37" t="s">
        <v>2</v>
      </c>
      <c r="G18" s="67"/>
      <c r="H18" s="75"/>
      <c r="I18" s="9"/>
      <c r="J18" s="18"/>
      <c r="K18" s="23">
        <f>(COUNTIF(F17:F19,"Yes"))+(COUNTIF(F17:F19,"Defined"))</f>
        <v>0</v>
      </c>
      <c r="L18" s="23">
        <f>(COUNTIF(F17:F19,"No"))+(COUNTIF(F17:F19,"Undefined"))</f>
        <v>0</v>
      </c>
      <c r="M18" s="23">
        <f>COUNTIF(F17:F19,"Unknown")</f>
        <v>3</v>
      </c>
      <c r="N18" s="115"/>
      <c r="O18" s="19"/>
      <c r="P18" s="20"/>
      <c r="Q18" s="8"/>
      <c r="R18" s="51"/>
    </row>
    <row r="19" spans="2:18" ht="17.25" thickBot="1" x14ac:dyDescent="0.35">
      <c r="B19" s="55"/>
      <c r="C19" s="72"/>
      <c r="D19" s="36">
        <v>3</v>
      </c>
      <c r="E19" s="41" t="s">
        <v>56</v>
      </c>
      <c r="F19" s="39" t="s">
        <v>2</v>
      </c>
      <c r="G19" s="67"/>
      <c r="H19" s="75"/>
      <c r="I19" s="9"/>
      <c r="J19" s="24"/>
      <c r="K19" s="25">
        <f>K18/SUM(K18:M18)</f>
        <v>0</v>
      </c>
      <c r="L19" s="25">
        <f>L18/SUM(K18:M18)</f>
        <v>0</v>
      </c>
      <c r="M19" s="25">
        <f>M18/SUM(K18:M18)</f>
        <v>1</v>
      </c>
      <c r="N19" s="115"/>
      <c r="O19" s="19"/>
      <c r="P19" s="20"/>
      <c r="Q19" s="8"/>
      <c r="R19" s="51"/>
    </row>
    <row r="20" spans="2:18" ht="5.45" customHeight="1" x14ac:dyDescent="0.3">
      <c r="B20" s="55"/>
      <c r="C20" s="72"/>
      <c r="D20" s="77"/>
      <c r="E20" s="72"/>
      <c r="F20" s="73"/>
      <c r="G20" s="72"/>
      <c r="H20" s="75"/>
      <c r="I20" s="9"/>
      <c r="J20" s="10"/>
      <c r="K20" s="27"/>
      <c r="L20" s="27"/>
      <c r="M20" s="27"/>
      <c r="N20" s="113"/>
      <c r="O20" s="20"/>
      <c r="P20" s="20"/>
      <c r="Q20" s="8"/>
      <c r="R20" s="51"/>
    </row>
    <row r="21" spans="2:18" s="30" customFormat="1" ht="16.149999999999999" customHeight="1" thickBot="1" x14ac:dyDescent="0.3">
      <c r="B21" s="56"/>
      <c r="C21" s="73"/>
      <c r="D21" s="69" t="s">
        <v>21</v>
      </c>
      <c r="E21" s="69"/>
      <c r="F21" s="69"/>
      <c r="G21" s="70" t="s">
        <v>7</v>
      </c>
      <c r="H21" s="76"/>
      <c r="I21" s="12"/>
      <c r="J21" s="13"/>
      <c r="K21" s="28"/>
      <c r="L21" s="28"/>
      <c r="M21" s="28"/>
      <c r="N21" s="114"/>
      <c r="O21" s="14"/>
      <c r="P21" s="28"/>
      <c r="Q21" s="29"/>
      <c r="R21" s="57"/>
    </row>
    <row r="22" spans="2:18" ht="17.25" thickBot="1" x14ac:dyDescent="0.35">
      <c r="B22" s="55"/>
      <c r="C22" s="72"/>
      <c r="D22" s="38">
        <v>4</v>
      </c>
      <c r="E22" s="41" t="s">
        <v>76</v>
      </c>
      <c r="F22" s="39" t="s">
        <v>2</v>
      </c>
      <c r="G22" s="67"/>
      <c r="H22" s="75"/>
      <c r="I22" s="9"/>
      <c r="J22" s="10"/>
      <c r="K22" s="22" t="s">
        <v>3</v>
      </c>
      <c r="L22" s="22" t="s">
        <v>4</v>
      </c>
      <c r="M22" s="22" t="s">
        <v>5</v>
      </c>
      <c r="N22" s="113"/>
      <c r="O22" s="20"/>
      <c r="P22" s="20"/>
      <c r="Q22" s="8"/>
      <c r="R22" s="51"/>
    </row>
    <row r="23" spans="2:18" ht="17.25" thickBot="1" x14ac:dyDescent="0.35">
      <c r="B23" s="55"/>
      <c r="C23" s="72"/>
      <c r="D23" s="38">
        <v>5</v>
      </c>
      <c r="E23" s="41" t="s">
        <v>19</v>
      </c>
      <c r="F23" s="39" t="s">
        <v>2</v>
      </c>
      <c r="G23" s="67"/>
      <c r="H23" s="75"/>
      <c r="I23" s="9"/>
      <c r="J23" s="10"/>
      <c r="K23" s="23">
        <f>(COUNTIF(F22:F24,"Strong"))+(COUNTIF(F22:F24,"High"))+(COUNTIF(F22:F24,"Yes"))+(COUNTIF(F22:F24,"Defined"))</f>
        <v>0</v>
      </c>
      <c r="L23" s="23">
        <f>(COUNTIF(F22:F24,"No"))+(COUNTIF(F22:F24,"Undefined"))+(COUNTIF(F22:F24,"Low"))+(COUNTIF(F22:F24,"Weak"))</f>
        <v>0</v>
      </c>
      <c r="M23" s="23">
        <f>(COUNTIF(F22:F24,"Partial"))+(COUNTIF(F22:F24,"Unknown"))</f>
        <v>3</v>
      </c>
      <c r="N23" s="113"/>
      <c r="O23" s="20"/>
      <c r="P23" s="20"/>
      <c r="Q23" s="8"/>
      <c r="R23" s="51"/>
    </row>
    <row r="24" spans="2:18" ht="17.25" thickBot="1" x14ac:dyDescent="0.35">
      <c r="B24" s="55"/>
      <c r="C24" s="72"/>
      <c r="D24" s="38">
        <v>6</v>
      </c>
      <c r="E24" s="41" t="s">
        <v>70</v>
      </c>
      <c r="F24" s="39" t="s">
        <v>2</v>
      </c>
      <c r="G24" s="67"/>
      <c r="H24" s="75"/>
      <c r="I24" s="9"/>
      <c r="J24" s="10"/>
      <c r="K24" s="25">
        <f>K23/SUM(K23:M23)</f>
        <v>0</v>
      </c>
      <c r="L24" s="25">
        <f>L23/SUM(K23:M23)</f>
        <v>0</v>
      </c>
      <c r="M24" s="25">
        <f>M23/SUM(K23:M23)</f>
        <v>1</v>
      </c>
      <c r="N24" s="113"/>
      <c r="O24" s="20"/>
      <c r="P24" s="20"/>
      <c r="Q24" s="8"/>
      <c r="R24" s="51"/>
    </row>
    <row r="25" spans="2:18" ht="4.1500000000000004" customHeight="1" x14ac:dyDescent="0.3">
      <c r="B25" s="55"/>
      <c r="C25" s="72"/>
      <c r="D25" s="78"/>
      <c r="E25" s="79"/>
      <c r="F25" s="80"/>
      <c r="G25" s="79"/>
      <c r="H25" s="75"/>
      <c r="I25" s="9"/>
      <c r="J25" s="10"/>
      <c r="K25" s="32"/>
      <c r="L25" s="27"/>
      <c r="M25" s="32"/>
      <c r="N25" s="116"/>
      <c r="O25" s="20"/>
      <c r="P25" s="20"/>
      <c r="Q25" s="8"/>
      <c r="R25" s="51"/>
    </row>
    <row r="26" spans="2:18" s="30" customFormat="1" ht="16.149999999999999" customHeight="1" thickBot="1" x14ac:dyDescent="0.35">
      <c r="B26" s="56"/>
      <c r="C26" s="73"/>
      <c r="D26" s="81" t="s">
        <v>22</v>
      </c>
      <c r="E26" s="81"/>
      <c r="F26" s="81"/>
      <c r="G26" s="82" t="s">
        <v>9</v>
      </c>
      <c r="H26" s="76"/>
      <c r="I26" s="12"/>
      <c r="J26" s="13"/>
      <c r="K26" s="28"/>
      <c r="L26" s="28"/>
      <c r="M26" s="28"/>
      <c r="N26" s="114"/>
      <c r="O26" s="14"/>
      <c r="P26" s="28"/>
      <c r="Q26" s="29"/>
      <c r="R26" s="57"/>
    </row>
    <row r="27" spans="2:18" ht="17.25" thickBot="1" x14ac:dyDescent="0.35">
      <c r="B27" s="55"/>
      <c r="C27" s="72"/>
      <c r="D27" s="38">
        <v>7</v>
      </c>
      <c r="E27" s="41" t="s">
        <v>62</v>
      </c>
      <c r="F27" s="39" t="s">
        <v>6</v>
      </c>
      <c r="G27" s="67"/>
      <c r="H27" s="75"/>
      <c r="I27" s="9"/>
      <c r="J27" s="31"/>
      <c r="K27" s="22" t="s">
        <v>3</v>
      </c>
      <c r="L27" s="22" t="s">
        <v>4</v>
      </c>
      <c r="M27" s="22" t="s">
        <v>5</v>
      </c>
      <c r="N27" s="113"/>
      <c r="O27" s="20"/>
      <c r="P27" s="20"/>
      <c r="Q27" s="8"/>
      <c r="R27" s="51"/>
    </row>
    <row r="28" spans="2:18" ht="17.25" thickBot="1" x14ac:dyDescent="0.35">
      <c r="B28" s="55"/>
      <c r="C28" s="72"/>
      <c r="D28" s="38">
        <v>8</v>
      </c>
      <c r="E28" s="41" t="s">
        <v>17</v>
      </c>
      <c r="F28" s="39" t="s">
        <v>8</v>
      </c>
      <c r="G28" s="67"/>
      <c r="H28" s="75"/>
      <c r="I28" s="9"/>
      <c r="J28" s="24"/>
      <c r="K28" s="23">
        <f>(COUNTIF(F27:F29,"Strong"))+(COUNTIF(F27:F29,"High"))+(COUNTIF(F27:F29,"Yes"))+(COUNTIF(F27:F29,"Defined"))</f>
        <v>1</v>
      </c>
      <c r="L28" s="23">
        <f>(COUNTIF(F27:F29,"No"))+(COUNTIF(F27:F29,"Undefined"))+(COUNTIF(F27:F29,"Low"))+(COUNTIF(F27:F29,"Weak"))</f>
        <v>1</v>
      </c>
      <c r="M28" s="23">
        <f>(COUNTIF(F27:F29,"Partial"))+(COUNTIF(F27:F29,"Unknown"))</f>
        <v>1</v>
      </c>
      <c r="N28" s="113"/>
      <c r="O28" s="20"/>
      <c r="P28" s="20"/>
      <c r="Q28" s="8"/>
      <c r="R28" s="51"/>
    </row>
    <row r="29" spans="2:18" ht="17.25" thickBot="1" x14ac:dyDescent="0.35">
      <c r="B29" s="55"/>
      <c r="C29" s="72"/>
      <c r="D29" s="38">
        <v>9</v>
      </c>
      <c r="E29" s="41" t="s">
        <v>15</v>
      </c>
      <c r="F29" s="39" t="s">
        <v>2</v>
      </c>
      <c r="G29" s="67"/>
      <c r="H29" s="75"/>
      <c r="I29" s="9"/>
      <c r="J29" s="10"/>
      <c r="K29" s="25">
        <f>K28/SUM(K28:M28)</f>
        <v>0.33333333333333331</v>
      </c>
      <c r="L29" s="25">
        <f>L28/SUM(K28:M28)</f>
        <v>0.33333333333333331</v>
      </c>
      <c r="M29" s="25">
        <f>M28/SUM(K28:M28)</f>
        <v>0.33333333333333331</v>
      </c>
      <c r="N29" s="113"/>
      <c r="O29" s="20"/>
      <c r="P29" s="20"/>
      <c r="Q29" s="8"/>
      <c r="R29" s="51"/>
    </row>
    <row r="30" spans="2:18" ht="4.1500000000000004" customHeight="1" x14ac:dyDescent="0.3">
      <c r="B30" s="55"/>
      <c r="C30" s="72"/>
      <c r="D30" s="78"/>
      <c r="E30" s="79"/>
      <c r="F30" s="80"/>
      <c r="G30" s="79"/>
      <c r="H30" s="75"/>
      <c r="I30" s="9"/>
      <c r="J30" s="10"/>
      <c r="K30" s="27"/>
      <c r="L30" s="27"/>
      <c r="M30" s="27"/>
      <c r="N30" s="113"/>
      <c r="O30" s="20"/>
      <c r="P30" s="20"/>
      <c r="Q30" s="8"/>
      <c r="R30" s="51"/>
    </row>
    <row r="31" spans="2:18" s="30" customFormat="1" ht="16.149999999999999" customHeight="1" thickBot="1" x14ac:dyDescent="0.3">
      <c r="B31" s="56"/>
      <c r="C31" s="73"/>
      <c r="D31" s="69" t="s">
        <v>23</v>
      </c>
      <c r="E31" s="69"/>
      <c r="F31" s="69"/>
      <c r="G31" s="70" t="s">
        <v>10</v>
      </c>
      <c r="H31" s="76"/>
      <c r="I31" s="33"/>
      <c r="J31" s="34"/>
      <c r="K31" s="28"/>
      <c r="L31" s="28"/>
      <c r="M31" s="28"/>
      <c r="N31" s="114"/>
      <c r="O31" s="28"/>
      <c r="P31" s="28"/>
      <c r="Q31" s="29"/>
      <c r="R31" s="57"/>
    </row>
    <row r="32" spans="2:18" ht="17.25" thickBot="1" x14ac:dyDescent="0.35">
      <c r="B32" s="55"/>
      <c r="C32" s="72"/>
      <c r="D32" s="38">
        <v>10</v>
      </c>
      <c r="E32" s="41" t="s">
        <v>16</v>
      </c>
      <c r="F32" s="39" t="s">
        <v>6</v>
      </c>
      <c r="G32" s="67"/>
      <c r="H32" s="75"/>
      <c r="I32" s="9"/>
      <c r="J32" s="31" t="s">
        <v>11</v>
      </c>
      <c r="K32" s="22" t="s">
        <v>3</v>
      </c>
      <c r="L32" s="22" t="s">
        <v>4</v>
      </c>
      <c r="M32" s="22" t="s">
        <v>5</v>
      </c>
      <c r="N32" s="113"/>
      <c r="O32" s="20"/>
      <c r="P32" s="20"/>
      <c r="Q32" s="8"/>
      <c r="R32" s="51"/>
    </row>
    <row r="33" spans="2:18" ht="17.25" thickBot="1" x14ac:dyDescent="0.35">
      <c r="B33" s="55"/>
      <c r="C33" s="72"/>
      <c r="D33" s="38">
        <v>11</v>
      </c>
      <c r="E33" s="41" t="s">
        <v>14</v>
      </c>
      <c r="F33" s="39" t="s">
        <v>2</v>
      </c>
      <c r="G33" s="67"/>
      <c r="H33" s="75"/>
      <c r="I33" s="9"/>
      <c r="J33" s="10" t="s">
        <v>12</v>
      </c>
      <c r="K33" s="23">
        <f>(COUNTIF(F32:F34,"Strong"))+(COUNTIF(F32:F34,"High"))+(COUNTIF(F32:F34,"Yes"))+(COUNTIF(F32:F34,"Defined"))</f>
        <v>0</v>
      </c>
      <c r="L33" s="23">
        <f>(COUNTIF(F32:F34,"No"))+(COUNTIF(F32:F34,"Undefined"))+(COUNTIF(F32:F34,"Low"))+(COUNTIF(F32:F34,"Weak"))</f>
        <v>1</v>
      </c>
      <c r="M33" s="23">
        <f>(COUNTIF(F32:F34,"Partial"))+(COUNTIF(F32:F34,"Unknown"))+(COUNTIF(F32:F34,"Medium"))</f>
        <v>2</v>
      </c>
      <c r="N33" s="113"/>
      <c r="O33" s="20"/>
      <c r="P33" s="20"/>
      <c r="Q33" s="8"/>
      <c r="R33" s="51"/>
    </row>
    <row r="34" spans="2:18" ht="17.25" thickBot="1" x14ac:dyDescent="0.35">
      <c r="B34" s="55"/>
      <c r="C34" s="72"/>
      <c r="D34" s="38">
        <v>12</v>
      </c>
      <c r="E34" s="41" t="s">
        <v>24</v>
      </c>
      <c r="F34" s="39" t="s">
        <v>92</v>
      </c>
      <c r="G34" s="67"/>
      <c r="H34" s="75"/>
      <c r="I34" s="9"/>
      <c r="J34" s="10"/>
      <c r="K34" s="26">
        <f>K33/SUM(K33:N33)</f>
        <v>0</v>
      </c>
      <c r="L34" s="26">
        <f>L33/SUM(K33:N33)</f>
        <v>0.33333333333333331</v>
      </c>
      <c r="M34" s="26">
        <f>M33/SUM(K33:N33)</f>
        <v>0.66666666666666663</v>
      </c>
      <c r="N34" s="113"/>
      <c r="O34" s="20"/>
      <c r="P34" s="20"/>
      <c r="Q34" s="8"/>
      <c r="R34" s="51"/>
    </row>
    <row r="35" spans="2:18" ht="15.4" customHeight="1" x14ac:dyDescent="0.3">
      <c r="B35" s="55"/>
      <c r="C35" s="72"/>
      <c r="D35" s="74"/>
      <c r="E35" s="72"/>
      <c r="F35" s="72"/>
      <c r="G35" s="74"/>
      <c r="H35" s="75"/>
      <c r="I35" s="9"/>
      <c r="J35" s="10"/>
      <c r="K35" s="35">
        <f>+K18+K23+K28+K33</f>
        <v>1</v>
      </c>
      <c r="L35" s="35">
        <f>+L18+L23+L28+L33</f>
        <v>2</v>
      </c>
      <c r="M35" s="35">
        <f>+M18+M23+M28+M33</f>
        <v>9</v>
      </c>
      <c r="N35" s="116"/>
      <c r="O35" s="20"/>
      <c r="P35" s="20"/>
      <c r="Q35" s="8"/>
      <c r="R35" s="51"/>
    </row>
    <row r="36" spans="2:18" ht="11.25" customHeight="1" x14ac:dyDescent="0.3">
      <c r="B36" s="58"/>
      <c r="C36" s="59"/>
      <c r="D36" s="60"/>
      <c r="E36" s="59"/>
      <c r="F36" s="59"/>
      <c r="G36" s="59"/>
      <c r="H36" s="61"/>
      <c r="I36" s="62"/>
      <c r="J36" s="63"/>
      <c r="K36" s="66">
        <f>K35/SUM(K35:M35)</f>
        <v>8.3333333333333329E-2</v>
      </c>
      <c r="L36" s="66">
        <f>L35/SUM(K35:N35)</f>
        <v>0.16666666666666666</v>
      </c>
      <c r="M36" s="66">
        <f>M35/SUM(K35:N35)</f>
        <v>0.75</v>
      </c>
      <c r="N36" s="117"/>
      <c r="O36" s="64"/>
      <c r="P36" s="64"/>
      <c r="Q36" s="61"/>
      <c r="R36" s="65"/>
    </row>
  </sheetData>
  <mergeCells count="3">
    <mergeCell ref="H11:M11"/>
    <mergeCell ref="E3:P3"/>
    <mergeCell ref="F4:G4"/>
  </mergeCells>
  <conditionalFormatting sqref="F17:G18 G18:G19 G22:G24">
    <cfRule type="containsBlanks" dxfId="71" priority="179">
      <formula>LEN(TRIM(F17))=0</formula>
    </cfRule>
  </conditionalFormatting>
  <conditionalFormatting sqref="F29">
    <cfRule type="containsBlanks" dxfId="70" priority="170">
      <formula>LEN(TRIM(F29))=0</formula>
    </cfRule>
  </conditionalFormatting>
  <conditionalFormatting sqref="F29">
    <cfRule type="cellIs" dxfId="69" priority="167" operator="equal">
      <formula>"Unknown"</formula>
    </cfRule>
    <cfRule type="cellIs" dxfId="68" priority="168" operator="equal">
      <formula>"No"</formula>
    </cfRule>
    <cfRule type="cellIs" dxfId="67" priority="169" operator="equal">
      <formula>"Yes"</formula>
    </cfRule>
  </conditionalFormatting>
  <conditionalFormatting sqref="F34">
    <cfRule type="containsBlanks" dxfId="66" priority="150">
      <formula>LEN(TRIM(F34))=0</formula>
    </cfRule>
  </conditionalFormatting>
  <conditionalFormatting sqref="F34">
    <cfRule type="cellIs" dxfId="65" priority="147" operator="equal">
      <formula>"Medium"</formula>
    </cfRule>
    <cfRule type="cellIs" dxfId="64" priority="148" operator="equal">
      <formula>"Low"</formula>
    </cfRule>
    <cfRule type="cellIs" dxfId="63" priority="149" operator="equal">
      <formula>"High"</formula>
    </cfRule>
  </conditionalFormatting>
  <conditionalFormatting sqref="F17">
    <cfRule type="cellIs" dxfId="62" priority="128" operator="equal">
      <formula>"Unknown"</formula>
    </cfRule>
    <cfRule type="cellIs" dxfId="61" priority="129" operator="equal">
      <formula>"No"</formula>
    </cfRule>
    <cfRule type="cellIs" dxfId="60" priority="130" operator="equal">
      <formula>"Yes"</formula>
    </cfRule>
  </conditionalFormatting>
  <conditionalFormatting sqref="F18">
    <cfRule type="cellIs" dxfId="59" priority="122" operator="equal">
      <formula>"Unknown"</formula>
    </cfRule>
    <cfRule type="cellIs" dxfId="58" priority="123" operator="equal">
      <formula>"No"</formula>
    </cfRule>
    <cfRule type="cellIs" dxfId="57" priority="124" operator="equal">
      <formula>"Yes"</formula>
    </cfRule>
  </conditionalFormatting>
  <conditionalFormatting sqref="F23">
    <cfRule type="containsBlanks" dxfId="56" priority="110">
      <formula>LEN(TRIM(F23))=0</formula>
    </cfRule>
  </conditionalFormatting>
  <conditionalFormatting sqref="F23">
    <cfRule type="cellIs" dxfId="55" priority="107" operator="equal">
      <formula>"Unknown"</formula>
    </cfRule>
    <cfRule type="cellIs" dxfId="54" priority="108" operator="equal">
      <formula>"Weak"</formula>
    </cfRule>
    <cfRule type="cellIs" dxfId="53" priority="109" operator="equal">
      <formula>"Strong"</formula>
    </cfRule>
  </conditionalFormatting>
  <conditionalFormatting sqref="F32">
    <cfRule type="containsBlanks" dxfId="52" priority="102">
      <formula>LEN(TRIM(F32))=0</formula>
    </cfRule>
  </conditionalFormatting>
  <conditionalFormatting sqref="F32">
    <cfRule type="cellIs" dxfId="51" priority="99" operator="equal">
      <formula>"Unknown"</formula>
    </cfRule>
    <cfRule type="cellIs" dxfId="50" priority="100" operator="equal">
      <formula>"No"</formula>
    </cfRule>
    <cfRule type="cellIs" dxfId="49" priority="101" operator="equal">
      <formula>"Yes"</formula>
    </cfRule>
  </conditionalFormatting>
  <conditionalFormatting sqref="F17">
    <cfRule type="cellIs" dxfId="48" priority="96" operator="equal">
      <formula>"Unknown"</formula>
    </cfRule>
    <cfRule type="cellIs" dxfId="47" priority="97" operator="equal">
      <formula>"Undefined"</formula>
    </cfRule>
    <cfRule type="cellIs" dxfId="46" priority="98" operator="equal">
      <formula>"Defined"</formula>
    </cfRule>
  </conditionalFormatting>
  <conditionalFormatting sqref="F18">
    <cfRule type="cellIs" dxfId="45" priority="93" operator="equal">
      <formula>"Unknown"</formula>
    </cfRule>
    <cfRule type="cellIs" dxfId="44" priority="94" operator="equal">
      <formula>"No"</formula>
    </cfRule>
    <cfRule type="cellIs" dxfId="43" priority="95" operator="equal">
      <formula>"Yes"</formula>
    </cfRule>
  </conditionalFormatting>
  <conditionalFormatting sqref="F23">
    <cfRule type="containsBlanks" dxfId="42" priority="85">
      <formula>LEN(TRIM(F23))=0</formula>
    </cfRule>
  </conditionalFormatting>
  <conditionalFormatting sqref="F23">
    <cfRule type="cellIs" dxfId="41" priority="82" operator="equal">
      <formula>"Unknown"</formula>
    </cfRule>
    <cfRule type="cellIs" dxfId="40" priority="83" operator="equal">
      <formula>"No"</formula>
    </cfRule>
    <cfRule type="cellIs" dxfId="39" priority="84" operator="equal">
      <formula>"Yes"</formula>
    </cfRule>
  </conditionalFormatting>
  <conditionalFormatting sqref="F17">
    <cfRule type="cellIs" dxfId="38" priority="65" operator="equal">
      <formula>"Unknown"</formula>
    </cfRule>
    <cfRule type="cellIs" dxfId="37" priority="66" operator="equal">
      <formula>"Undefined"</formula>
    </cfRule>
    <cfRule type="cellIs" dxfId="36" priority="67" operator="equal">
      <formula>"Defined"</formula>
    </cfRule>
  </conditionalFormatting>
  <conditionalFormatting sqref="F17">
    <cfRule type="cellIs" dxfId="35" priority="68" operator="equal">
      <formula>"Unknown"</formula>
    </cfRule>
    <cfRule type="cellIs" dxfId="34" priority="69" operator="equal">
      <formula>"No"</formula>
    </cfRule>
    <cfRule type="cellIs" dxfId="33" priority="70" operator="equal">
      <formula>"Yes"</formula>
    </cfRule>
  </conditionalFormatting>
  <conditionalFormatting sqref="F17">
    <cfRule type="cellIs" dxfId="32" priority="62" operator="equal">
      <formula>"Unknown"</formula>
    </cfRule>
    <cfRule type="cellIs" dxfId="31" priority="63" operator="equal">
      <formula>"No"</formula>
    </cfRule>
    <cfRule type="cellIs" dxfId="30" priority="64" operator="equal">
      <formula>"Yes"</formula>
    </cfRule>
  </conditionalFormatting>
  <conditionalFormatting sqref="F24">
    <cfRule type="containsBlanks" dxfId="29" priority="34">
      <formula>LEN(TRIM(F24))=0</formula>
    </cfRule>
  </conditionalFormatting>
  <conditionalFormatting sqref="F24">
    <cfRule type="cellIs" dxfId="28" priority="31" operator="equal">
      <formula>"Unknown"</formula>
    </cfRule>
    <cfRule type="cellIs" dxfId="27" priority="32" operator="equal">
      <formula>"No"</formula>
    </cfRule>
    <cfRule type="cellIs" dxfId="26" priority="33" operator="equal">
      <formula>"Yes"</formula>
    </cfRule>
  </conditionalFormatting>
  <conditionalFormatting sqref="F27">
    <cfRule type="containsBlanks" dxfId="25" priority="30">
      <formula>LEN(TRIM(F27))=0</formula>
    </cfRule>
  </conditionalFormatting>
  <conditionalFormatting sqref="F27">
    <cfRule type="cellIs" dxfId="24" priority="27" operator="equal">
      <formula>"Unknown"</formula>
    </cfRule>
    <cfRule type="cellIs" dxfId="23" priority="28" operator="equal">
      <formula>"No"</formula>
    </cfRule>
    <cfRule type="cellIs" dxfId="22" priority="29" operator="equal">
      <formula>"Yes"</formula>
    </cfRule>
  </conditionalFormatting>
  <conditionalFormatting sqref="F28">
    <cfRule type="containsBlanks" dxfId="21" priority="26">
      <formula>LEN(TRIM(F28))=0</formula>
    </cfRule>
  </conditionalFormatting>
  <conditionalFormatting sqref="F28">
    <cfRule type="cellIs" dxfId="20" priority="23" operator="equal">
      <formula>"Unknown"</formula>
    </cfRule>
    <cfRule type="cellIs" dxfId="19" priority="24" operator="equal">
      <formula>"No"</formula>
    </cfRule>
    <cfRule type="cellIs" dxfId="18" priority="25" operator="equal">
      <formula>"Yes"</formula>
    </cfRule>
  </conditionalFormatting>
  <conditionalFormatting sqref="F33">
    <cfRule type="containsBlanks" dxfId="17" priority="18">
      <formula>LEN(TRIM(F33))=0</formula>
    </cfRule>
  </conditionalFormatting>
  <conditionalFormatting sqref="F33">
    <cfRule type="cellIs" dxfId="16" priority="15" operator="equal">
      <formula>"Unknown"</formula>
    </cfRule>
    <cfRule type="cellIs" dxfId="15" priority="16" operator="equal">
      <formula>"No"</formula>
    </cfRule>
    <cfRule type="cellIs" dxfId="14" priority="17" operator="equal">
      <formula>"Yes"</formula>
    </cfRule>
  </conditionalFormatting>
  <conditionalFormatting sqref="G27">
    <cfRule type="containsBlanks" dxfId="13" priority="14">
      <formula>LEN(TRIM(G27))=0</formula>
    </cfRule>
  </conditionalFormatting>
  <conditionalFormatting sqref="G28">
    <cfRule type="containsBlanks" dxfId="12" priority="13">
      <formula>LEN(TRIM(G28))=0</formula>
    </cfRule>
  </conditionalFormatting>
  <conditionalFormatting sqref="G29">
    <cfRule type="containsBlanks" dxfId="11" priority="12">
      <formula>LEN(TRIM(G29))=0</formula>
    </cfRule>
  </conditionalFormatting>
  <conditionalFormatting sqref="G32">
    <cfRule type="containsBlanks" dxfId="10" priority="11">
      <formula>LEN(TRIM(G32))=0</formula>
    </cfRule>
  </conditionalFormatting>
  <conditionalFormatting sqref="G33">
    <cfRule type="containsBlanks" dxfId="9" priority="10">
      <formula>LEN(TRIM(G33))=0</formula>
    </cfRule>
  </conditionalFormatting>
  <conditionalFormatting sqref="G34">
    <cfRule type="containsBlanks" dxfId="8" priority="9">
      <formula>LEN(TRIM(G34))=0</formula>
    </cfRule>
  </conditionalFormatting>
  <conditionalFormatting sqref="F19">
    <cfRule type="containsBlanks" dxfId="7" priority="8">
      <formula>LEN(TRIM(F19))=0</formula>
    </cfRule>
  </conditionalFormatting>
  <conditionalFormatting sqref="F19">
    <cfRule type="cellIs" dxfId="6" priority="5" operator="equal">
      <formula>"Unknown"</formula>
    </cfRule>
    <cfRule type="cellIs" dxfId="5" priority="6" operator="equal">
      <formula>"No"</formula>
    </cfRule>
    <cfRule type="cellIs" dxfId="4" priority="7" operator="equal">
      <formula>"Yes"</formula>
    </cfRule>
  </conditionalFormatting>
  <conditionalFormatting sqref="F22">
    <cfRule type="containsBlanks" dxfId="3" priority="4">
      <formula>LEN(TRIM(F22))=0</formula>
    </cfRule>
  </conditionalFormatting>
  <conditionalFormatting sqref="F22">
    <cfRule type="cellIs" dxfId="2" priority="1" operator="equal">
      <formula>"Unknown"</formula>
    </cfRule>
    <cfRule type="cellIs" dxfId="1" priority="2" operator="equal">
      <formula>"No"</formula>
    </cfRule>
    <cfRule type="cellIs" dxfId="0" priority="3" operator="equal">
      <formula>"Yes"</formula>
    </cfRule>
  </conditionalFormatting>
  <dataValidations count="2">
    <dataValidation type="list" allowBlank="1" showInputMessage="1" showErrorMessage="1" sqref="F34">
      <formula1>"High, Medium, Low"</formula1>
    </dataValidation>
    <dataValidation type="list" allowBlank="1" showInputMessage="1" showErrorMessage="1" sqref="F32:F33 F27:F29 F17:F19 F22:F24">
      <formula1>"Unknown,Yes,No"</formula1>
    </dataValidation>
  </dataValidations>
  <pageMargins left="0.25" right="0.25" top="0.75" bottom="0.75" header="0.3" footer="0.3"/>
  <pageSetup scale="80" fitToHeight="0" orientation="landscape" horizontalDpi="4294967293"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67A782C1DC0A42931F5092C48B41BE" ma:contentTypeVersion="0" ma:contentTypeDescription="Create a new document." ma:contentTypeScope="" ma:versionID="02f7b5fd9c6dd8ec4974c1bebda73280">
  <xsd:schema xmlns:xsd="http://www.w3.org/2001/XMLSchema" xmlns:xs="http://www.w3.org/2001/XMLSchema" xmlns:p="http://schemas.microsoft.com/office/2006/metadata/properties" targetNamespace="http://schemas.microsoft.com/office/2006/metadata/properties" ma:root="true" ma:fieldsID="9f039aece9eb2b209f69299ab9c778f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659B7D-DBBA-4E17-98EB-75E87BB114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693CAAE-7798-47B4-A733-A9EDB5AB2AAE}">
  <ds:schemaRefs>
    <ds:schemaRef ds:uri="http://schemas.microsoft.com/sharepoint/v3/contenttype/forms"/>
  </ds:schemaRefs>
</ds:datastoreItem>
</file>

<file path=customXml/itemProps3.xml><?xml version="1.0" encoding="utf-8"?>
<ds:datastoreItem xmlns:ds="http://schemas.openxmlformats.org/officeDocument/2006/customXml" ds:itemID="{0ECFCFF0-35F2-48D9-8489-7EB7A170284D}">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Questions</vt:lpstr>
      <vt:lpstr>Strategic Deal Diagnostic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Jeannie Bastos</dc:creator>
  <cp:lastModifiedBy>Robyn Johnson</cp:lastModifiedBy>
  <cp:lastPrinted>2017-08-18T13:27:40Z</cp:lastPrinted>
  <dcterms:created xsi:type="dcterms:W3CDTF">2015-12-21T15:56:27Z</dcterms:created>
  <dcterms:modified xsi:type="dcterms:W3CDTF">2019-11-04T20:29:53Z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0x010100D467A782C1DC0A42931F5092C48B41BE</vt:lpwstr>
  </property>
</Properties>
</file>